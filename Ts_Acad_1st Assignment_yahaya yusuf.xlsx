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TSAcad-Project\"/>
    </mc:Choice>
  </mc:AlternateContent>
  <xr:revisionPtr revIDLastSave="0" documentId="13_ncr:1_{040B7356-1AF2-4EE2-9BBD-17E9B978A4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s" sheetId="1" r:id="rId1"/>
    <sheet name="2 Text Func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vtAcCsjh/vKEbpM9DBUSTZZwswPGhBSZgOtsjeHeTxQ="/>
    </ext>
  </extLst>
</workbook>
</file>

<file path=xl/calcChain.xml><?xml version="1.0" encoding="utf-8"?>
<calcChain xmlns="http://schemas.openxmlformats.org/spreadsheetml/2006/main">
  <c r="R23" i="3" l="1"/>
  <c r="R20" i="3"/>
  <c r="R17" i="3"/>
  <c r="R14" i="3"/>
  <c r="R11" i="3"/>
  <c r="R8" i="3"/>
  <c r="R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2" i="3"/>
  <c r="C2" i="3"/>
  <c r="C3" i="3"/>
  <c r="C4" i="3"/>
  <c r="C5" i="3"/>
  <c r="C6" i="3"/>
  <c r="C7" i="3"/>
  <c r="E7" i="3" s="1"/>
  <c r="C8" i="3"/>
  <c r="C9" i="3"/>
  <c r="E9" i="3" s="1"/>
  <c r="C10" i="3"/>
  <c r="C11" i="3"/>
  <c r="C12" i="3"/>
  <c r="C13" i="3"/>
  <c r="C14" i="3"/>
  <c r="C15" i="3"/>
  <c r="E15" i="3" s="1"/>
  <c r="C16" i="3"/>
  <c r="C17" i="3"/>
  <c r="E17" i="3" s="1"/>
  <c r="C18" i="3"/>
  <c r="C19" i="3"/>
  <c r="C20" i="3"/>
  <c r="C21" i="3"/>
  <c r="C22" i="3"/>
  <c r="C23" i="3"/>
  <c r="E23" i="3" s="1"/>
  <c r="C24" i="3"/>
  <c r="C25" i="3"/>
  <c r="E25" i="3" s="1"/>
  <c r="C26" i="3"/>
  <c r="C27" i="3"/>
  <c r="C28" i="3"/>
  <c r="C29" i="3"/>
  <c r="C30" i="3"/>
  <c r="C31" i="3"/>
  <c r="C32" i="3"/>
  <c r="C33" i="3"/>
  <c r="E33" i="3" s="1"/>
  <c r="C34" i="3"/>
  <c r="C35" i="3"/>
  <c r="C36" i="3"/>
  <c r="C37" i="3"/>
  <c r="C38" i="3"/>
  <c r="C39" i="3"/>
  <c r="E39" i="3" s="1"/>
  <c r="C40" i="3"/>
  <c r="C41" i="3"/>
  <c r="E41" i="3" s="1"/>
  <c r="C42" i="3"/>
  <c r="C43" i="3"/>
  <c r="C44" i="3"/>
  <c r="C45" i="3"/>
  <c r="C46" i="3"/>
  <c r="C47" i="3"/>
  <c r="E47" i="3" s="1"/>
  <c r="C48" i="3"/>
  <c r="C49" i="3"/>
  <c r="E49" i="3" s="1"/>
  <c r="C50" i="3"/>
  <c r="C51" i="3"/>
  <c r="E51" i="3" s="1"/>
  <c r="C52" i="3"/>
  <c r="C53" i="3"/>
  <c r="C54" i="3"/>
  <c r="C55" i="3"/>
  <c r="E55" i="3" s="1"/>
  <c r="C56" i="3"/>
  <c r="C57" i="3"/>
  <c r="E57" i="3" s="1"/>
  <c r="C58" i="3"/>
  <c r="C59" i="3"/>
  <c r="C60" i="3"/>
  <c r="C61" i="3"/>
  <c r="C62" i="3"/>
  <c r="C63" i="3"/>
  <c r="E63" i="3" s="1"/>
  <c r="C64" i="3"/>
  <c r="C65" i="3"/>
  <c r="E65" i="3" s="1"/>
  <c r="C66" i="3"/>
  <c r="C67" i="3"/>
  <c r="C68" i="3"/>
  <c r="C69" i="3"/>
  <c r="C70" i="3"/>
  <c r="C71" i="3"/>
  <c r="E71" i="3" s="1"/>
  <c r="C72" i="3"/>
  <c r="C73" i="3"/>
  <c r="E73" i="3" s="1"/>
  <c r="C74" i="3"/>
  <c r="C75" i="3"/>
  <c r="E75" i="3" s="1"/>
  <c r="C76" i="3"/>
  <c r="C77" i="3"/>
  <c r="C78" i="3"/>
  <c r="C79" i="3"/>
  <c r="C80" i="3"/>
  <c r="C81" i="3"/>
  <c r="E81" i="3" s="1"/>
  <c r="C82" i="3"/>
  <c r="C83" i="3"/>
  <c r="E83" i="3" s="1"/>
  <c r="C84" i="3"/>
  <c r="C85" i="3"/>
  <c r="C86" i="3"/>
  <c r="C87" i="3"/>
  <c r="E87" i="3" s="1"/>
  <c r="C88" i="3"/>
  <c r="C89" i="3"/>
  <c r="E89" i="3" s="1"/>
  <c r="C90" i="3"/>
  <c r="C91" i="3"/>
  <c r="E91" i="3" s="1"/>
  <c r="C92" i="3"/>
  <c r="C93" i="3"/>
  <c r="C94" i="3"/>
  <c r="C95" i="3"/>
  <c r="E95" i="3" s="1"/>
  <c r="C96" i="3"/>
  <c r="C97" i="3"/>
  <c r="E97" i="3" s="1"/>
  <c r="C98" i="3"/>
  <c r="C99" i="3"/>
  <c r="E99" i="3" s="1"/>
  <c r="C100" i="3"/>
  <c r="C101" i="3"/>
  <c r="E3" i="3"/>
  <c r="E4" i="3"/>
  <c r="E5" i="3"/>
  <c r="E6" i="3"/>
  <c r="E8" i="3"/>
  <c r="E10" i="3"/>
  <c r="E11" i="3"/>
  <c r="E12" i="3"/>
  <c r="E13" i="3"/>
  <c r="E14" i="3"/>
  <c r="E16" i="3"/>
  <c r="E18" i="3"/>
  <c r="E19" i="3"/>
  <c r="E20" i="3"/>
  <c r="E21" i="3"/>
  <c r="E22" i="3"/>
  <c r="E24" i="3"/>
  <c r="E26" i="3"/>
  <c r="E27" i="3"/>
  <c r="E28" i="3"/>
  <c r="E29" i="3"/>
  <c r="E30" i="3"/>
  <c r="E31" i="3"/>
  <c r="E32" i="3"/>
  <c r="E34" i="3"/>
  <c r="E35" i="3"/>
  <c r="E36" i="3"/>
  <c r="E37" i="3"/>
  <c r="E38" i="3"/>
  <c r="E40" i="3"/>
  <c r="E42" i="3"/>
  <c r="E43" i="3"/>
  <c r="E44" i="3"/>
  <c r="E45" i="3"/>
  <c r="E46" i="3"/>
  <c r="E48" i="3"/>
  <c r="E50" i="3"/>
  <c r="E52" i="3"/>
  <c r="E53" i="3"/>
  <c r="E54" i="3"/>
  <c r="E56" i="3"/>
  <c r="E58" i="3"/>
  <c r="E59" i="3"/>
  <c r="E60" i="3"/>
  <c r="E61" i="3"/>
  <c r="E62" i="3"/>
  <c r="E64" i="3"/>
  <c r="E66" i="3"/>
  <c r="E67" i="3"/>
  <c r="E68" i="3"/>
  <c r="E69" i="3"/>
  <c r="E70" i="3"/>
  <c r="E72" i="3"/>
  <c r="E74" i="3"/>
  <c r="E76" i="3"/>
  <c r="E77" i="3"/>
  <c r="E78" i="3"/>
  <c r="E79" i="3"/>
  <c r="E80" i="3"/>
  <c r="E82" i="3"/>
  <c r="E84" i="3"/>
  <c r="E85" i="3"/>
  <c r="E86" i="3"/>
  <c r="E88" i="3"/>
  <c r="E90" i="3"/>
  <c r="E92" i="3"/>
  <c r="E93" i="3"/>
  <c r="E94" i="3"/>
  <c r="E96" i="3"/>
  <c r="E98" i="3"/>
  <c r="E100" i="3"/>
  <c r="E101" i="3"/>
  <c r="E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L2" i="3"/>
  <c r="K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2" i="3"/>
  <c r="D3" i="3"/>
  <c r="G3" i="3" s="1"/>
  <c r="D4" i="3"/>
  <c r="D5" i="3"/>
  <c r="D6" i="3"/>
  <c r="D7" i="3"/>
  <c r="D8" i="3"/>
  <c r="D9" i="3"/>
  <c r="D10" i="3"/>
  <c r="D11" i="3"/>
  <c r="G11" i="3" s="1"/>
  <c r="D12" i="3"/>
  <c r="D13" i="3"/>
  <c r="D14" i="3"/>
  <c r="D15" i="3"/>
  <c r="D16" i="3"/>
  <c r="D17" i="3"/>
  <c r="D18" i="3"/>
  <c r="D19" i="3"/>
  <c r="G19" i="3" s="1"/>
  <c r="D20" i="3"/>
  <c r="D21" i="3"/>
  <c r="D22" i="3"/>
  <c r="D23" i="3"/>
  <c r="D24" i="3"/>
  <c r="G24" i="3" s="1"/>
  <c r="D25" i="3"/>
  <c r="D26" i="3"/>
  <c r="D27" i="3"/>
  <c r="G27" i="3" s="1"/>
  <c r="D28" i="3"/>
  <c r="D29" i="3"/>
  <c r="D30" i="3"/>
  <c r="D31" i="3"/>
  <c r="D32" i="3"/>
  <c r="G32" i="3" s="1"/>
  <c r="D33" i="3"/>
  <c r="D34" i="3"/>
  <c r="D35" i="3"/>
  <c r="G35" i="3" s="1"/>
  <c r="D36" i="3"/>
  <c r="D37" i="3"/>
  <c r="D38" i="3"/>
  <c r="D39" i="3"/>
  <c r="D40" i="3"/>
  <c r="G40" i="3" s="1"/>
  <c r="D41" i="3"/>
  <c r="D42" i="3"/>
  <c r="D43" i="3"/>
  <c r="G43" i="3" s="1"/>
  <c r="D44" i="3"/>
  <c r="D45" i="3"/>
  <c r="D46" i="3"/>
  <c r="D47" i="3"/>
  <c r="D48" i="3"/>
  <c r="D49" i="3"/>
  <c r="D50" i="3"/>
  <c r="D51" i="3"/>
  <c r="G51" i="3" s="1"/>
  <c r="D52" i="3"/>
  <c r="D53" i="3"/>
  <c r="D54" i="3"/>
  <c r="D55" i="3"/>
  <c r="D56" i="3"/>
  <c r="D57" i="3"/>
  <c r="D58" i="3"/>
  <c r="D59" i="3"/>
  <c r="G59" i="3" s="1"/>
  <c r="D60" i="3"/>
  <c r="D61" i="3"/>
  <c r="D62" i="3"/>
  <c r="D63" i="3"/>
  <c r="D64" i="3"/>
  <c r="G64" i="3" s="1"/>
  <c r="D65" i="3"/>
  <c r="D66" i="3"/>
  <c r="D67" i="3"/>
  <c r="G67" i="3" s="1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G80" i="3" s="1"/>
  <c r="D81" i="3"/>
  <c r="D82" i="3"/>
  <c r="D83" i="3"/>
  <c r="G83" i="3" s="1"/>
  <c r="D84" i="3"/>
  <c r="D85" i="3"/>
  <c r="D86" i="3"/>
  <c r="D87" i="3"/>
  <c r="D88" i="3"/>
  <c r="G88" i="3" s="1"/>
  <c r="D89" i="3"/>
  <c r="D90" i="3"/>
  <c r="D91" i="3"/>
  <c r="G91" i="3" s="1"/>
  <c r="D92" i="3"/>
  <c r="D93" i="3"/>
  <c r="D94" i="3"/>
  <c r="D95" i="3"/>
  <c r="D96" i="3"/>
  <c r="G96" i="3" s="1"/>
  <c r="D97" i="3"/>
  <c r="D98" i="3"/>
  <c r="D99" i="3"/>
  <c r="G99" i="3" s="1"/>
  <c r="D100" i="3"/>
  <c r="D101" i="3"/>
  <c r="D2" i="3"/>
  <c r="G8" i="3"/>
  <c r="G9" i="3"/>
  <c r="G16" i="3"/>
  <c r="G31" i="3"/>
  <c r="G33" i="3"/>
  <c r="G48" i="3"/>
  <c r="G49" i="3"/>
  <c r="G56" i="3"/>
  <c r="G72" i="3"/>
  <c r="G75" i="3"/>
  <c r="G97" i="3"/>
  <c r="G73" i="3" l="1"/>
  <c r="G65" i="3"/>
  <c r="G87" i="3"/>
  <c r="G79" i="3"/>
  <c r="G71" i="3"/>
  <c r="G63" i="3"/>
  <c r="G55" i="3"/>
  <c r="G47" i="3"/>
  <c r="G39" i="3"/>
  <c r="G23" i="3"/>
  <c r="G15" i="3"/>
  <c r="G7" i="3"/>
  <c r="G41" i="3"/>
  <c r="G89" i="3"/>
  <c r="G95" i="3"/>
  <c r="G81" i="3"/>
  <c r="G25" i="3"/>
  <c r="G57" i="3"/>
  <c r="G17" i="3"/>
  <c r="G98" i="3"/>
  <c r="G90" i="3"/>
  <c r="G82" i="3"/>
  <c r="G74" i="3"/>
  <c r="G66" i="3"/>
  <c r="G58" i="3"/>
  <c r="G50" i="3"/>
  <c r="G42" i="3"/>
  <c r="G34" i="3"/>
  <c r="G26" i="3"/>
  <c r="G18" i="3"/>
  <c r="G10" i="3"/>
  <c r="G100" i="3"/>
  <c r="G92" i="3"/>
  <c r="G84" i="3"/>
  <c r="G76" i="3"/>
  <c r="G68" i="3"/>
  <c r="G60" i="3"/>
  <c r="G52" i="3"/>
  <c r="G44" i="3"/>
  <c r="G36" i="3"/>
  <c r="G28" i="3"/>
  <c r="G20" i="3"/>
  <c r="G12" i="3"/>
  <c r="G4" i="3"/>
  <c r="G101" i="3"/>
  <c r="G93" i="3"/>
  <c r="G85" i="3"/>
  <c r="G77" i="3"/>
  <c r="G69" i="3"/>
  <c r="G61" i="3"/>
  <c r="G53" i="3"/>
  <c r="G45" i="3"/>
  <c r="G37" i="3"/>
  <c r="G29" i="3"/>
  <c r="G21" i="3"/>
  <c r="G13" i="3"/>
  <c r="G5" i="3"/>
  <c r="G2" i="3"/>
  <c r="G94" i="3"/>
  <c r="G86" i="3"/>
  <c r="G78" i="3"/>
  <c r="G70" i="3"/>
  <c r="G62" i="3"/>
  <c r="G54" i="3"/>
  <c r="G46" i="3"/>
  <c r="G38" i="3"/>
  <c r="G30" i="3"/>
  <c r="G22" i="3"/>
  <c r="G14" i="3"/>
  <c r="G6" i="3"/>
</calcChain>
</file>

<file path=xl/sharedStrings.xml><?xml version="1.0" encoding="utf-8"?>
<sst xmlns="http://schemas.openxmlformats.org/spreadsheetml/2006/main" count="655" uniqueCount="185">
  <si>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</si>
  <si>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</si>
  <si>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</si>
  <si>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</si>
  <si>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</si>
  <si>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</si>
  <si>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</si>
  <si>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</si>
  <si>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</si>
  <si>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</si>
  <si>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</si>
  <si>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</si>
  <si>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</si>
  <si>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</si>
  <si>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</si>
  <si>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</si>
  <si>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</si>
  <si>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</si>
  <si>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</si>
  <si>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</si>
  <si>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</si>
  <si>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</si>
  <si>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</si>
  <si>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</si>
  <si>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</si>
  <si>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</si>
  <si>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</si>
  <si>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</si>
  <si>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</si>
  <si>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</si>
  <si>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r>
      <rPr>
        <b/>
        <sz val="11"/>
        <rFont val="Calibri"/>
      </rPr>
      <t>Submit here:</t>
    </r>
    <r>
      <rPr>
        <sz val="11"/>
        <color theme="1"/>
        <rFont val="Calibri"/>
        <scheme val="minor"/>
      </rPr>
      <t xml:space="preserve"> </t>
    </r>
    <r>
      <rPr>
        <u/>
        <sz val="11"/>
        <color rgb="FF1155CC"/>
        <rFont val="Calibri"/>
      </rPr>
      <t>https://forms.gle/Y7GVAUYWvy7mLTReA</t>
    </r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</si>
  <si>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</si>
  <si>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</si>
  <si>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</si>
  <si>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</si>
  <si>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</si>
  <si>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</si>
  <si>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</si>
  <si>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</si>
  <si>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</si>
  <si>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</si>
  <si>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</si>
  <si>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</si>
  <si>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</si>
  <si>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</si>
  <si>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</si>
  <si>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</si>
  <si>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</si>
  <si>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</si>
  <si>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</si>
  <si>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</si>
  <si>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</si>
  <si>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</si>
  <si>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</si>
  <si>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</si>
  <si>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</si>
  <si>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</si>
  <si>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</si>
  <si>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</si>
  <si>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</si>
  <si>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</si>
  <si>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</si>
  <si>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</si>
  <si>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</si>
  <si>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</si>
  <si>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</si>
  <si>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</si>
  <si>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</si>
  <si>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</si>
  <si>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</si>
  <si>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</si>
  <si>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</si>
  <si>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</si>
  <si>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</si>
  <si>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</si>
  <si>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</si>
  <si>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</si>
  <si>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</si>
  <si>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</si>
  <si>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</si>
  <si>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</si>
  <si>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</si>
  <si>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</si>
  <si>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</si>
  <si>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</si>
  <si>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</si>
  <si>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</si>
  <si>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</si>
  <si>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</si>
  <si>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</si>
  <si>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</si>
  <si>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</si>
  <si>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</si>
  <si>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</si>
  <si>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</si>
  <si>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</si>
  <si>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</si>
  <si>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</si>
  <si>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</si>
  <si>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</si>
  <si>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</si>
  <si>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</si>
  <si>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</si>
  <si>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</si>
  <si>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</si>
  <si>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</si>
  <si>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</si>
  <si>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</si>
  <si>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</si>
  <si>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</si>
  <si>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</si>
  <si>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</si>
  <si>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</si>
  <si>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</si>
  <si>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</si>
  <si>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</si>
  <si>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</si>
  <si>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</si>
  <si>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</si>
  <si>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</si>
  <si>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</si>
  <si>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</si>
  <si>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</si>
  <si>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</si>
  <si>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</si>
  <si>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</si>
  <si>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</si>
  <si>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</si>
  <si>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</si>
  <si>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</si>
  <si>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</si>
  <si>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</si>
  <si>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</si>
  <si>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</si>
  <si>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</si>
  <si>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</si>
  <si>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</si>
  <si>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</si>
  <si>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</si>
  <si>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</si>
  <si>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</si>
  <si>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</si>
  <si>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</si>
  <si>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</si>
  <si>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</si>
  <si>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</si>
  <si>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</si>
  <si>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</si>
  <si>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</si>
  <si>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</si>
  <si>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</si>
  <si>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</si>
  <si>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</si>
  <si>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</si>
  <si>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</si>
  <si>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</si>
  <si>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</si>
  <si>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</si>
  <si>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</si>
  <si>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</si>
  <si>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</si>
  <si>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</si>
  <si>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</si>
  <si>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</si>
  <si>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</si>
  <si>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</si>
  <si>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</si>
  <si>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</si>
  <si>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</si>
  <si>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</si>
  <si>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</si>
  <si>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First Name</t>
  </si>
  <si>
    <t>Last Name</t>
  </si>
  <si>
    <t>Email</t>
  </si>
  <si>
    <t>Full Name Length</t>
  </si>
  <si>
    <t>Department Upper Case</t>
  </si>
  <si>
    <t>Department Lower Case</t>
  </si>
  <si>
    <t>Department Proper Case</t>
  </si>
  <si>
    <t>Total Salary</t>
  </si>
  <si>
    <t>Average Salary</t>
  </si>
  <si>
    <t>Hr Dept. Average Salary</t>
  </si>
  <si>
    <t>Total Salary &gt; 3 years of Exp</t>
  </si>
  <si>
    <t>Females Average Salary</t>
  </si>
  <si>
    <t>No. Male Employees</t>
  </si>
  <si>
    <t>Maximum Salary in IT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</si>
</sst>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b/>
      <sz val="11"/>
      <name val="Calibri"/>
    </font>
    <font>
      <u/>
      <sz val="11"/>
      <color rgb="FF1155CC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1" xfId="0" applyFont="1" applyBorder="1"/>
    <xf numFmtId="44" fontId="1" fillId="0" borderId="1" xfId="1" applyFont="1" applyBorder="1"/>
    <xf numFmtId="44" fontId="0" fillId="0" borderId="0" xfId="1" applyFont="1" applyAlignment="1"/>
    <xf numFmtId="0" fontId="6" fillId="2" borderId="1" xfId="0" applyFont="1" applyFill="1" applyBorder="1" applyAlignment="1">
      <alignment horizontal="center" vertical="top"/>
    </xf>
    <xf numFmtId="44" fontId="6" fillId="2" borderId="1" xfId="1" applyFont="1" applyFill="1" applyBorder="1" applyAlignment="1">
      <alignment horizontal="center" vertical="top"/>
    </xf>
    <xf numFmtId="0" fontId="7" fillId="0" borderId="0" xfId="0" applyFont="1" applyAlignment="1"/>
    <xf numFmtId="0" fontId="8" fillId="0" borderId="2" xfId="0" applyFont="1" applyFill="1" applyBorder="1" applyAlignment="1">
      <alignment horizontal="center"/>
    </xf>
    <xf numFmtId="44" fontId="5" fillId="0" borderId="0" xfId="0" applyNumberFormat="1" applyFont="1" applyAlignment="1"/>
    <xf numFmtId="0" fontId="5" fillId="0" borderId="0" xfId="0" applyFont="1" applyAlignment="1"/>
    <xf numFmtId="0" fontId="8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Y7GVAUYWvy7mLTR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topLeftCell="A49" workbookViewId="0">
      <selection activeCell="A64" sqref="A64"/>
    </sheetView>
  </sheetViews>
  <sheetFormatPr defaultColWidth="14.453125" defaultRowHeight="15" customHeight="1" x14ac:dyDescent="0.35"/>
  <cols>
    <col min="1" max="1" width="127" customWidth="1"/>
    <col min="2" max="26" width="9" customWidth="1"/>
  </cols>
  <sheetData>
    <row r="1" spans="1:1" ht="16.5" customHeight="1" x14ac:dyDescent="0.35">
      <c r="A1" s="1" t="s">
        <v>0</v>
      </c>
    </row>
    <row r="2" spans="1:1" ht="16.5" customHeight="1" x14ac:dyDescent="0.35"/>
    <row r="3" spans="1:1" ht="16.5" customHeight="1" x14ac:dyDescent="0.35">
      <c r="A3" s="1" t="s">
        <v>1</v>
      </c>
    </row>
    <row r="4" spans="1:1" ht="16.5" customHeight="1" x14ac:dyDescent="0.35"/>
    <row r="5" spans="1:1" ht="16.5" customHeight="1" x14ac:dyDescent="0.35">
      <c r="A5" s="1" t="s">
        <v>2</v>
      </c>
    </row>
    <row r="6" spans="1:1" ht="16.5" customHeight="1" x14ac:dyDescent="0.35"/>
    <row r="7" spans="1:1" ht="16.5" customHeight="1" x14ac:dyDescent="0.35">
      <c r="A7" s="1" t="s">
        <v>3</v>
      </c>
    </row>
    <row r="8" spans="1:1" ht="16.5" customHeight="1" x14ac:dyDescent="0.35"/>
    <row r="9" spans="1:1" ht="16.5" customHeight="1" x14ac:dyDescent="0.35">
      <c r="A9" s="1" t="s">
        <v>4</v>
      </c>
    </row>
    <row r="10" spans="1:1" ht="16.5" customHeight="1" x14ac:dyDescent="0.35"/>
    <row r="11" spans="1:1" ht="16.5" customHeight="1" x14ac:dyDescent="0.35">
      <c r="A11" s="1" t="s">
        <v>5</v>
      </c>
    </row>
    <row r="12" spans="1:1" ht="16.5" customHeight="1" x14ac:dyDescent="0.35"/>
    <row r="13" spans="1:1" ht="16.5" customHeight="1" x14ac:dyDescent="0.35">
      <c r="A13" s="1" t="s">
        <v>6</v>
      </c>
    </row>
    <row r="14" spans="1:1" ht="16.5" customHeight="1" x14ac:dyDescent="0.35"/>
    <row r="15" spans="1:1" ht="16.5" customHeight="1" x14ac:dyDescent="0.35">
      <c r="A15" s="1" t="s">
        <v>7</v>
      </c>
    </row>
    <row r="16" spans="1:1" ht="16.5" customHeight="1" x14ac:dyDescent="0.35"/>
    <row r="17" spans="1:1" ht="16.5" customHeight="1" x14ac:dyDescent="0.35">
      <c r="A17" s="1" t="s">
        <v>8</v>
      </c>
    </row>
    <row r="18" spans="1:1" ht="16.5" customHeight="1" x14ac:dyDescent="0.35"/>
    <row r="19" spans="1:1" ht="16.5" customHeight="1" x14ac:dyDescent="0.35">
      <c r="A19" s="1" t="s">
        <v>9</v>
      </c>
    </row>
    <row r="20" spans="1:1" ht="16.5" customHeight="1" x14ac:dyDescent="0.35">
      <c r="A20" s="1" t="s">
        <v>10</v>
      </c>
    </row>
    <row r="21" spans="1:1" ht="16.5" customHeight="1" x14ac:dyDescent="0.35"/>
    <row r="22" spans="1:1" ht="16.5" customHeight="1" x14ac:dyDescent="0.35">
      <c r="A22" s="1" t="s">
        <v>11</v>
      </c>
    </row>
    <row r="23" spans="1:1" ht="16.5" customHeight="1" x14ac:dyDescent="0.35"/>
    <row r="24" spans="1:1" ht="16.5" customHeight="1" x14ac:dyDescent="0.35">
      <c r="A24" s="1" t="s">
        <v>12</v>
      </c>
    </row>
    <row r="25" spans="1:1" ht="16.5" customHeight="1" x14ac:dyDescent="0.35"/>
    <row r="26" spans="1:1" ht="16.5" customHeight="1" x14ac:dyDescent="0.35">
      <c r="A26" s="1" t="s">
        <v>13</v>
      </c>
    </row>
    <row r="27" spans="1:1" ht="16.5" customHeight="1" x14ac:dyDescent="0.35"/>
    <row r="28" spans="1:1" ht="16.5" customHeight="1" x14ac:dyDescent="0.35">
      <c r="A28" s="1" t="s">
        <v>14</v>
      </c>
    </row>
    <row r="29" spans="1:1" ht="16.5" customHeight="1" x14ac:dyDescent="0.35"/>
    <row r="30" spans="1:1" ht="16.5" customHeight="1" x14ac:dyDescent="0.35">
      <c r="A30" s="1" t="s">
        <v>15</v>
      </c>
    </row>
    <row r="31" spans="1:1" ht="16.5" customHeight="1" x14ac:dyDescent="0.35"/>
    <row r="32" spans="1:1" ht="16.5" customHeight="1" x14ac:dyDescent="0.35">
      <c r="A32" s="1" t="s">
        <v>16</v>
      </c>
    </row>
    <row r="33" spans="1:1" ht="16.5" customHeight="1" x14ac:dyDescent="0.35"/>
    <row r="34" spans="1:1" ht="16.5" customHeight="1" x14ac:dyDescent="0.35"/>
    <row r="35" spans="1:1" ht="16.5" customHeight="1" x14ac:dyDescent="0.35">
      <c r="A35" s="1" t="s">
        <v>17</v>
      </c>
    </row>
    <row r="36" spans="1:1" ht="16.5" customHeight="1" x14ac:dyDescent="0.35"/>
    <row r="37" spans="1:1" ht="16.5" customHeight="1" x14ac:dyDescent="0.35">
      <c r="A37" s="1" t="s">
        <v>18</v>
      </c>
    </row>
    <row r="38" spans="1:1" ht="16.5" customHeight="1" x14ac:dyDescent="0.35"/>
    <row r="39" spans="1:1" ht="16.5" customHeight="1" x14ac:dyDescent="0.35">
      <c r="A39" s="1" t="s">
        <v>19</v>
      </c>
    </row>
    <row r="40" spans="1:1" ht="16.5" customHeight="1" x14ac:dyDescent="0.35"/>
    <row r="41" spans="1:1" ht="16.5" customHeight="1" x14ac:dyDescent="0.35">
      <c r="A41" s="1" t="s">
        <v>20</v>
      </c>
    </row>
    <row r="42" spans="1:1" ht="16.5" customHeight="1" x14ac:dyDescent="0.35"/>
    <row r="43" spans="1:1" ht="16.5" customHeight="1" x14ac:dyDescent="0.35">
      <c r="A43" s="1" t="s">
        <v>21</v>
      </c>
    </row>
    <row r="44" spans="1:1" ht="16.5" customHeight="1" x14ac:dyDescent="0.35"/>
    <row r="45" spans="1:1" ht="16.5" customHeight="1" x14ac:dyDescent="0.35">
      <c r="A45" s="1" t="s">
        <v>22</v>
      </c>
    </row>
    <row r="46" spans="1:1" ht="16.5" customHeight="1" x14ac:dyDescent="0.35"/>
    <row r="47" spans="1:1" ht="16.5" customHeight="1" x14ac:dyDescent="0.35"/>
    <row r="48" spans="1:1" ht="16.5" customHeight="1" x14ac:dyDescent="0.35">
      <c r="A48" s="1" t="s">
        <v>23</v>
      </c>
    </row>
    <row r="49" spans="1:1" ht="16.5" customHeight="1" x14ac:dyDescent="0.35"/>
    <row r="50" spans="1:1" ht="16.5" customHeight="1" x14ac:dyDescent="0.35">
      <c r="A50" s="1" t="s">
        <v>24</v>
      </c>
    </row>
    <row r="51" spans="1:1" ht="16.5" customHeight="1" x14ac:dyDescent="0.35"/>
    <row r="52" spans="1:1" ht="16.5" customHeight="1" x14ac:dyDescent="0.35">
      <c r="A52" s="1" t="s">
        <v>25</v>
      </c>
    </row>
    <row r="53" spans="1:1" ht="16.5" customHeight="1" x14ac:dyDescent="0.35"/>
    <row r="54" spans="1:1" ht="16.5" customHeight="1" x14ac:dyDescent="0.35">
      <c r="A54" s="1" t="s">
        <v>26</v>
      </c>
    </row>
    <row r="55" spans="1:1" ht="16.5" customHeight="1" x14ac:dyDescent="0.35"/>
    <row r="56" spans="1:1" ht="16.5" customHeight="1" x14ac:dyDescent="0.35">
      <c r="A56" s="1" t="s">
        <v>27</v>
      </c>
    </row>
    <row r="57" spans="1:1" ht="16.5" customHeight="1" x14ac:dyDescent="0.35"/>
    <row r="58" spans="1:1" ht="16.5" customHeight="1" x14ac:dyDescent="0.35">
      <c r="A58" s="1" t="s">
        <v>28</v>
      </c>
    </row>
    <row r="59" spans="1:1" ht="16.5" customHeight="1" x14ac:dyDescent="0.35"/>
    <row r="60" spans="1:1" ht="16.5" customHeight="1" x14ac:dyDescent="0.35">
      <c r="A60" s="1" t="s">
        <v>29</v>
      </c>
    </row>
    <row r="61" spans="1:1" ht="16.5" customHeight="1" x14ac:dyDescent="0.35"/>
    <row r="62" spans="1:1" ht="16.5" customHeight="1" x14ac:dyDescent="0.35"/>
    <row r="63" spans="1:1" ht="16.5" customHeight="1" x14ac:dyDescent="0.35"/>
    <row r="64" spans="1:1" ht="16.5" customHeight="1" x14ac:dyDescent="0.35">
      <c r="A64" s="2" t="s">
        <v>30</v>
      </c>
    </row>
    <row r="65" ht="16.5" customHeight="1" x14ac:dyDescent="0.35"/>
    <row r="66" ht="16.5" customHeight="1" x14ac:dyDescent="0.35"/>
    <row r="67" ht="16.5" customHeight="1" x14ac:dyDescent="0.35"/>
    <row r="68" ht="16.5" customHeight="1" x14ac:dyDescent="0.35"/>
    <row r="69" ht="16.5" customHeight="1" x14ac:dyDescent="0.35"/>
    <row r="70" ht="16.5" customHeight="1" x14ac:dyDescent="0.35"/>
    <row r="71" ht="16.5" customHeight="1" x14ac:dyDescent="0.35"/>
    <row r="72" ht="16.5" customHeight="1" x14ac:dyDescent="0.35"/>
    <row r="73" ht="16.5" customHeight="1" x14ac:dyDescent="0.35"/>
    <row r="74" ht="16.5" customHeight="1" x14ac:dyDescent="0.35"/>
    <row r="75" ht="16.5" customHeight="1" x14ac:dyDescent="0.35"/>
    <row r="76" ht="16.5" customHeight="1" x14ac:dyDescent="0.35"/>
    <row r="77" ht="16.5" customHeight="1" x14ac:dyDescent="0.35"/>
    <row r="78" ht="16.5" customHeight="1" x14ac:dyDescent="0.35"/>
    <row r="79" ht="16.5" customHeight="1" x14ac:dyDescent="0.35"/>
    <row r="80" ht="16.5" customHeight="1" x14ac:dyDescent="0.35"/>
    <row r="81" ht="16.5" customHeight="1" x14ac:dyDescent="0.35"/>
    <row r="82" ht="16.5" customHeight="1" x14ac:dyDescent="0.35"/>
    <row r="83" ht="16.5" customHeight="1" x14ac:dyDescent="0.35"/>
    <row r="84" ht="16.5" customHeight="1" x14ac:dyDescent="0.35"/>
    <row r="85" ht="16.5" customHeight="1" x14ac:dyDescent="0.35"/>
    <row r="86" ht="16.5" customHeight="1" x14ac:dyDescent="0.35"/>
    <row r="87" ht="16.5" customHeight="1" x14ac:dyDescent="0.35"/>
    <row r="88" ht="16.5" customHeight="1" x14ac:dyDescent="0.35"/>
    <row r="89" ht="16.5" customHeight="1" x14ac:dyDescent="0.35"/>
    <row r="90" ht="16.5" customHeight="1" x14ac:dyDescent="0.35"/>
    <row r="91" ht="16.5" customHeight="1" x14ac:dyDescent="0.35"/>
    <row r="92" ht="16.5" customHeight="1" x14ac:dyDescent="0.35"/>
    <row r="93" ht="16.5" customHeight="1" x14ac:dyDescent="0.35"/>
    <row r="94" ht="16.5" customHeight="1" x14ac:dyDescent="0.35"/>
    <row r="95" ht="16.5" customHeight="1" x14ac:dyDescent="0.35"/>
    <row r="96" ht="16.5" customHeight="1" x14ac:dyDescent="0.35"/>
    <row r="97" ht="16.5" customHeight="1" x14ac:dyDescent="0.35"/>
    <row r="98" ht="16.5" customHeight="1" x14ac:dyDescent="0.35"/>
    <row r="99" ht="16.5" customHeight="1" x14ac:dyDescent="0.35"/>
    <row r="100" ht="16.5" customHeight="1" x14ac:dyDescent="0.35"/>
    <row r="101" ht="16.5" customHeight="1" x14ac:dyDescent="0.35"/>
    <row r="102" ht="16.5" customHeight="1" x14ac:dyDescent="0.35"/>
    <row r="103" ht="16.5" customHeight="1" x14ac:dyDescent="0.35"/>
    <row r="104" ht="16.5" customHeight="1" x14ac:dyDescent="0.35"/>
    <row r="105" ht="16.5" customHeight="1" x14ac:dyDescent="0.35"/>
    <row r="106" ht="16.5" customHeight="1" x14ac:dyDescent="0.35"/>
    <row r="107" ht="16.5" customHeight="1" x14ac:dyDescent="0.35"/>
    <row r="108" ht="16.5" customHeight="1" x14ac:dyDescent="0.35"/>
    <row r="109" ht="16.5" customHeight="1" x14ac:dyDescent="0.35"/>
    <row r="110" ht="16.5" customHeight="1" x14ac:dyDescent="0.35"/>
    <row r="111" ht="16.5" customHeight="1" x14ac:dyDescent="0.35"/>
    <row r="112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hyperlinks>
    <hyperlink ref="A64" r:id="rId1" xr:uid="{00000000-0004-0000-0000-000000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1F17-E25E-434E-8B0C-698E7C2ADF46}">
  <dimension ref="A1:R1000"/>
  <sheetViews>
    <sheetView topLeftCell="G1" zoomScale="80" zoomScaleNormal="80" workbookViewId="0">
      <selection activeCell="R24" sqref="R24"/>
    </sheetView>
  </sheetViews>
  <sheetFormatPr defaultColWidth="14.453125" defaultRowHeight="14.5" x14ac:dyDescent="0.35"/>
  <cols>
    <col min="1" max="1" width="13.90625" customWidth="1"/>
    <col min="2" max="2" width="15" customWidth="1"/>
    <col min="3" max="3" width="12.453125" hidden="1" customWidth="1"/>
    <col min="4" max="4" width="13.54296875" hidden="1" customWidth="1"/>
    <col min="5" max="6" width="13.54296875" customWidth="1"/>
    <col min="7" max="7" width="24" customWidth="1"/>
    <col min="8" max="8" width="16.453125" customWidth="1"/>
    <col min="9" max="9" width="15.54296875" customWidth="1"/>
    <col min="10" max="13" width="17.36328125" customWidth="1"/>
    <col min="14" max="14" width="12.81640625" customWidth="1"/>
    <col min="15" max="15" width="16.90625" style="5" customWidth="1"/>
    <col min="16" max="16" width="16.26953125" customWidth="1"/>
    <col min="17" max="17" width="17.453125" customWidth="1"/>
    <col min="18" max="18" width="31.1796875" customWidth="1"/>
    <col min="19" max="35" width="9" customWidth="1"/>
  </cols>
  <sheetData>
    <row r="1" spans="1:18" s="8" customFormat="1" ht="16.5" customHeight="1" x14ac:dyDescent="0.45">
      <c r="A1" s="6" t="s">
        <v>31</v>
      </c>
      <c r="B1" s="6" t="s">
        <v>32</v>
      </c>
      <c r="C1" s="6" t="s">
        <v>171</v>
      </c>
      <c r="D1" s="6" t="s">
        <v>172</v>
      </c>
      <c r="E1" s="6" t="s">
        <v>171</v>
      </c>
      <c r="F1" s="6" t="s">
        <v>172</v>
      </c>
      <c r="G1" s="6" t="s">
        <v>173</v>
      </c>
      <c r="H1" s="6" t="s">
        <v>174</v>
      </c>
      <c r="I1" s="6" t="s">
        <v>33</v>
      </c>
      <c r="J1" s="6" t="s">
        <v>175</v>
      </c>
      <c r="K1" s="6" t="s">
        <v>176</v>
      </c>
      <c r="L1" s="6" t="s">
        <v>177</v>
      </c>
      <c r="M1" s="6" t="s">
        <v>34</v>
      </c>
      <c r="N1" s="6" t="s">
        <v>35</v>
      </c>
      <c r="O1" s="7" t="s">
        <v>36</v>
      </c>
      <c r="P1" s="6" t="s">
        <v>37</v>
      </c>
      <c r="Q1" s="6" t="s">
        <v>38</v>
      </c>
    </row>
    <row r="2" spans="1:18" ht="16.5" customHeight="1" x14ac:dyDescent="0.35">
      <c r="A2" s="3" t="s">
        <v>39</v>
      </c>
      <c r="B2" s="3" t="s">
        <v>40</v>
      </c>
      <c r="C2" s="3" t="str">
        <f>_xlfn.TEXTBEFORE(B2, " ")</f>
        <v>Sade</v>
      </c>
      <c r="D2" s="3" t="str">
        <f>_xlfn.TEXTAFTER(B2, " ")</f>
        <v>Bassey</v>
      </c>
      <c r="E2" s="3" t="str">
        <f>TRIM(C2)</f>
        <v>Sade</v>
      </c>
      <c r="F2" s="3" t="str">
        <f>TRIM(D2)</f>
        <v>Bassey</v>
      </c>
      <c r="G2" s="3" t="str">
        <f>LOWER(C2&amp; "." &amp; D2 &amp; "@dame.com")</f>
        <v>sade.bassey@dame.com</v>
      </c>
      <c r="H2" s="3">
        <f>LEN(SUBSTITUTE(B2," ",""))</f>
        <v>10</v>
      </c>
      <c r="I2" s="3" t="s">
        <v>41</v>
      </c>
      <c r="J2" s="3" t="str">
        <f>UPPER(I2)</f>
        <v>IT</v>
      </c>
      <c r="K2" s="3" t="str">
        <f>LOWER(I2)</f>
        <v>it</v>
      </c>
      <c r="L2" s="3" t="str">
        <f>PROPER(I2)</f>
        <v>It</v>
      </c>
      <c r="M2" s="3" t="s">
        <v>42</v>
      </c>
      <c r="N2" s="3" t="s">
        <v>43</v>
      </c>
      <c r="O2" s="4">
        <v>400712</v>
      </c>
      <c r="P2" s="3">
        <v>4</v>
      </c>
      <c r="Q2" s="3" t="s">
        <v>44</v>
      </c>
    </row>
    <row r="3" spans="1:18" ht="16.5" customHeight="1" x14ac:dyDescent="0.35">
      <c r="A3" s="3" t="s">
        <v>45</v>
      </c>
      <c r="B3" s="3" t="s">
        <v>40</v>
      </c>
      <c r="C3" s="3" t="str">
        <f t="shared" ref="C3:C66" si="0">_xlfn.TEXTBEFORE(B3, " ")</f>
        <v>Sade</v>
      </c>
      <c r="D3" s="3" t="str">
        <f>_xlfn.TEXTAFTER(B3, " ")</f>
        <v>Bassey</v>
      </c>
      <c r="E3" s="3" t="str">
        <f>TRIM(C3)</f>
        <v>Sade</v>
      </c>
      <c r="F3" s="3" t="str">
        <f t="shared" ref="F3:F66" si="1">TRIM(D3)</f>
        <v>Bassey</v>
      </c>
      <c r="G3" s="3" t="str">
        <f>LOWER(C3&amp; "." &amp; D3 &amp; "@dame.com")</f>
        <v>sade.bassey@dame.com</v>
      </c>
      <c r="H3" s="3">
        <f>LEN(SUBSTITUTE(B3," ",""))</f>
        <v>10</v>
      </c>
      <c r="I3" s="3" t="s">
        <v>46</v>
      </c>
      <c r="J3" s="3" t="str">
        <f t="shared" ref="J3:J66" si="2">UPPER(I3)</f>
        <v>MARKETING</v>
      </c>
      <c r="K3" s="3" t="str">
        <f t="shared" ref="K3:K66" si="3">LOWER(I3)</f>
        <v>marketing</v>
      </c>
      <c r="L3" s="3" t="str">
        <f t="shared" ref="L3:L66" si="4">PROPER(I3)</f>
        <v>Marketing</v>
      </c>
      <c r="M3" s="3" t="s">
        <v>47</v>
      </c>
      <c r="N3" s="3" t="s">
        <v>48</v>
      </c>
      <c r="O3" s="4">
        <v>200754</v>
      </c>
      <c r="P3" s="3">
        <v>10</v>
      </c>
      <c r="Q3" s="3" t="s">
        <v>49</v>
      </c>
    </row>
    <row r="4" spans="1:18" ht="16.5" customHeight="1" x14ac:dyDescent="0.45">
      <c r="A4" s="3" t="s">
        <v>50</v>
      </c>
      <c r="B4" s="3" t="s">
        <v>51</v>
      </c>
      <c r="C4" s="3" t="str">
        <f t="shared" si="0"/>
        <v>Faith</v>
      </c>
      <c r="D4" s="3" t="str">
        <f>_xlfn.TEXTAFTER(B4, " ")</f>
        <v>Udo</v>
      </c>
      <c r="E4" s="3" t="str">
        <f>TRIM(C4)</f>
        <v>Faith</v>
      </c>
      <c r="F4" s="3" t="str">
        <f t="shared" si="1"/>
        <v>Udo</v>
      </c>
      <c r="G4" s="3" t="str">
        <f>LOWER(C4&amp; "." &amp; D4 &amp; "@dame.com")</f>
        <v>faith.udo@dame.com</v>
      </c>
      <c r="H4" s="3">
        <f>LEN(SUBSTITUTE(B4," ",""))</f>
        <v>8</v>
      </c>
      <c r="I4" s="3" t="s">
        <v>52</v>
      </c>
      <c r="J4" s="3" t="str">
        <f t="shared" si="2"/>
        <v>SALES</v>
      </c>
      <c r="K4" s="3" t="str">
        <f t="shared" si="3"/>
        <v>sales</v>
      </c>
      <c r="L4" s="3" t="str">
        <f t="shared" si="4"/>
        <v>Sales</v>
      </c>
      <c r="M4" s="3" t="s">
        <v>47</v>
      </c>
      <c r="N4" s="3" t="s">
        <v>43</v>
      </c>
      <c r="O4" s="4">
        <v>457735</v>
      </c>
      <c r="P4" s="3">
        <v>3</v>
      </c>
      <c r="Q4" s="3" t="s">
        <v>44</v>
      </c>
      <c r="R4" s="12" t="s">
        <v>178</v>
      </c>
    </row>
    <row r="5" spans="1:18" ht="16.5" customHeight="1" x14ac:dyDescent="0.35">
      <c r="A5" s="3" t="s">
        <v>53</v>
      </c>
      <c r="B5" s="3" t="s">
        <v>40</v>
      </c>
      <c r="C5" s="3" t="str">
        <f t="shared" si="0"/>
        <v>Sade</v>
      </c>
      <c r="D5" s="3" t="str">
        <f>_xlfn.TEXTAFTER(B5, " ")</f>
        <v>Bassey</v>
      </c>
      <c r="E5" s="3" t="str">
        <f>TRIM(C5)</f>
        <v>Sade</v>
      </c>
      <c r="F5" s="3" t="str">
        <f t="shared" si="1"/>
        <v>Bassey</v>
      </c>
      <c r="G5" s="3" t="str">
        <f>LOWER(C5&amp; "." &amp; D5 &amp; "@dame.com")</f>
        <v>sade.bassey@dame.com</v>
      </c>
      <c r="H5" s="3">
        <f>LEN(SUBSTITUTE(B5," ",""))</f>
        <v>10</v>
      </c>
      <c r="I5" s="3" t="s">
        <v>54</v>
      </c>
      <c r="J5" s="3" t="str">
        <f t="shared" si="2"/>
        <v>FINANCE</v>
      </c>
      <c r="K5" s="3" t="str">
        <f t="shared" si="3"/>
        <v>finance</v>
      </c>
      <c r="L5" s="3" t="str">
        <f t="shared" si="4"/>
        <v>Finance</v>
      </c>
      <c r="M5" s="3" t="s">
        <v>55</v>
      </c>
      <c r="N5" s="3" t="s">
        <v>43</v>
      </c>
      <c r="O5" s="4">
        <v>337091</v>
      </c>
      <c r="P5" s="3">
        <v>2</v>
      </c>
      <c r="Q5" s="3" t="s">
        <v>56</v>
      </c>
      <c r="R5" s="10">
        <f>SUM(O:O)</f>
        <v>34862380</v>
      </c>
    </row>
    <row r="6" spans="1:18" ht="16.5" customHeight="1" x14ac:dyDescent="0.35">
      <c r="A6" s="3" t="s">
        <v>57</v>
      </c>
      <c r="B6" s="3" t="s">
        <v>58</v>
      </c>
      <c r="C6" s="3" t="str">
        <f t="shared" si="0"/>
        <v>Ibrahim</v>
      </c>
      <c r="D6" s="3" t="str">
        <f>_xlfn.TEXTAFTER(B6, " ")</f>
        <v>Musa</v>
      </c>
      <c r="E6" s="3" t="str">
        <f>TRIM(C6)</f>
        <v>Ibrahim</v>
      </c>
      <c r="F6" s="3" t="str">
        <f t="shared" si="1"/>
        <v>Musa</v>
      </c>
      <c r="G6" s="3" t="str">
        <f>LOWER(C6&amp; "." &amp; D6 &amp; "@dame.com")</f>
        <v>ibrahim.musa@dame.com</v>
      </c>
      <c r="H6" s="3">
        <f>LEN(SUBSTITUTE(B6," ",""))</f>
        <v>11</v>
      </c>
      <c r="I6" s="3" t="s">
        <v>41</v>
      </c>
      <c r="J6" s="3" t="str">
        <f t="shared" si="2"/>
        <v>IT</v>
      </c>
      <c r="K6" s="3" t="str">
        <f t="shared" si="3"/>
        <v>it</v>
      </c>
      <c r="L6" s="3" t="str">
        <f t="shared" si="4"/>
        <v>It</v>
      </c>
      <c r="M6" s="3" t="s">
        <v>47</v>
      </c>
      <c r="N6" s="3" t="s">
        <v>48</v>
      </c>
      <c r="O6" s="4">
        <v>436492</v>
      </c>
      <c r="P6" s="3">
        <v>5</v>
      </c>
      <c r="Q6" s="3" t="s">
        <v>59</v>
      </c>
    </row>
    <row r="7" spans="1:18" ht="16.5" customHeight="1" x14ac:dyDescent="0.45">
      <c r="A7" s="3" t="s">
        <v>60</v>
      </c>
      <c r="B7" s="3" t="s">
        <v>61</v>
      </c>
      <c r="C7" s="3" t="str">
        <f t="shared" si="0"/>
        <v>Tunde</v>
      </c>
      <c r="D7" s="3" t="str">
        <f>_xlfn.TEXTAFTER(B7, " ")</f>
        <v>Salisu</v>
      </c>
      <c r="E7" s="3" t="str">
        <f>TRIM(C7)</f>
        <v>Tunde</v>
      </c>
      <c r="F7" s="3" t="str">
        <f t="shared" si="1"/>
        <v>Salisu</v>
      </c>
      <c r="G7" s="3" t="str">
        <f>LOWER(C7&amp; "." &amp; D7 &amp; "@dame.com")</f>
        <v>tunde.salisu@dame.com</v>
      </c>
      <c r="H7" s="3">
        <f>LEN(SUBSTITUTE(B7," ",""))</f>
        <v>11</v>
      </c>
      <c r="I7" s="3" t="s">
        <v>41</v>
      </c>
      <c r="J7" s="3" t="str">
        <f t="shared" si="2"/>
        <v>IT</v>
      </c>
      <c r="K7" s="3" t="str">
        <f t="shared" si="3"/>
        <v>it</v>
      </c>
      <c r="L7" s="3" t="str">
        <f t="shared" si="4"/>
        <v>It</v>
      </c>
      <c r="M7" s="3" t="s">
        <v>62</v>
      </c>
      <c r="N7" s="3" t="s">
        <v>43</v>
      </c>
      <c r="O7" s="4">
        <v>404484</v>
      </c>
      <c r="P7" s="3">
        <v>10</v>
      </c>
      <c r="Q7" s="3" t="s">
        <v>56</v>
      </c>
      <c r="R7" s="13" t="s">
        <v>179</v>
      </c>
    </row>
    <row r="8" spans="1:18" ht="16.5" customHeight="1" x14ac:dyDescent="0.35">
      <c r="A8" s="3" t="s">
        <v>63</v>
      </c>
      <c r="B8" s="3" t="s">
        <v>64</v>
      </c>
      <c r="C8" s="3" t="str">
        <f t="shared" si="0"/>
        <v>James</v>
      </c>
      <c r="D8" s="3" t="str">
        <f>_xlfn.TEXTAFTER(B8, " ")</f>
        <v>Obi</v>
      </c>
      <c r="E8" s="3" t="str">
        <f>TRIM(C8)</f>
        <v>James</v>
      </c>
      <c r="F8" s="3" t="str">
        <f t="shared" si="1"/>
        <v>Obi</v>
      </c>
      <c r="G8" s="3" t="str">
        <f>LOWER(C8&amp; "." &amp; D8 &amp; "@dame.com")</f>
        <v>james.obi@dame.com</v>
      </c>
      <c r="H8" s="3">
        <f>LEN(SUBSTITUTE(B8," ",""))</f>
        <v>8</v>
      </c>
      <c r="I8" s="3" t="s">
        <v>41</v>
      </c>
      <c r="J8" s="3" t="str">
        <f t="shared" si="2"/>
        <v>IT</v>
      </c>
      <c r="K8" s="3" t="str">
        <f t="shared" si="3"/>
        <v>it</v>
      </c>
      <c r="L8" s="3" t="str">
        <f t="shared" si="4"/>
        <v>It</v>
      </c>
      <c r="M8" s="3" t="s">
        <v>42</v>
      </c>
      <c r="N8" s="3" t="s">
        <v>43</v>
      </c>
      <c r="O8" s="4">
        <v>450806</v>
      </c>
      <c r="P8" s="3">
        <v>3</v>
      </c>
      <c r="Q8" s="3" t="s">
        <v>49</v>
      </c>
      <c r="R8" s="10">
        <f>AVERAGE(O:O)</f>
        <v>348623.8</v>
      </c>
    </row>
    <row r="9" spans="1:18" ht="16.5" customHeight="1" x14ac:dyDescent="0.35">
      <c r="A9" s="3" t="s">
        <v>65</v>
      </c>
      <c r="B9" s="3" t="s">
        <v>58</v>
      </c>
      <c r="C9" s="3" t="str">
        <f t="shared" si="0"/>
        <v>Ibrahim</v>
      </c>
      <c r="D9" s="3" t="str">
        <f>_xlfn.TEXTAFTER(B9, " ")</f>
        <v>Musa</v>
      </c>
      <c r="E9" s="3" t="str">
        <f>TRIM(C9)</f>
        <v>Ibrahim</v>
      </c>
      <c r="F9" s="3" t="str">
        <f t="shared" si="1"/>
        <v>Musa</v>
      </c>
      <c r="G9" s="3" t="str">
        <f>LOWER(C9&amp; "." &amp; D9 &amp; "@dame.com")</f>
        <v>ibrahim.musa@dame.com</v>
      </c>
      <c r="H9" s="3">
        <f>LEN(SUBSTITUTE(B9," ",""))</f>
        <v>11</v>
      </c>
      <c r="I9" s="3" t="s">
        <v>54</v>
      </c>
      <c r="J9" s="3" t="str">
        <f t="shared" si="2"/>
        <v>FINANCE</v>
      </c>
      <c r="K9" s="3" t="str">
        <f t="shared" si="3"/>
        <v>finance</v>
      </c>
      <c r="L9" s="3" t="str">
        <f t="shared" si="4"/>
        <v>Finance</v>
      </c>
      <c r="M9" s="3" t="s">
        <v>47</v>
      </c>
      <c r="N9" s="3" t="s">
        <v>43</v>
      </c>
      <c r="O9" s="4">
        <v>307961</v>
      </c>
      <c r="P9" s="3">
        <v>2</v>
      </c>
      <c r="Q9" s="3" t="s">
        <v>66</v>
      </c>
    </row>
    <row r="10" spans="1:18" ht="16.5" customHeight="1" x14ac:dyDescent="0.45">
      <c r="A10" s="3" t="s">
        <v>67</v>
      </c>
      <c r="B10" s="3" t="s">
        <v>51</v>
      </c>
      <c r="C10" s="3" t="str">
        <f t="shared" si="0"/>
        <v>Faith</v>
      </c>
      <c r="D10" s="3" t="str">
        <f>_xlfn.TEXTAFTER(B10, " ")</f>
        <v>Udo</v>
      </c>
      <c r="E10" s="3" t="str">
        <f>TRIM(C10)</f>
        <v>Faith</v>
      </c>
      <c r="F10" s="3" t="str">
        <f t="shared" si="1"/>
        <v>Udo</v>
      </c>
      <c r="G10" s="3" t="str">
        <f>LOWER(C10&amp; "." &amp; D10 &amp; "@dame.com")</f>
        <v>faith.udo@dame.com</v>
      </c>
      <c r="H10" s="3">
        <f>LEN(SUBSTITUTE(B10," ",""))</f>
        <v>8</v>
      </c>
      <c r="I10" s="3" t="s">
        <v>52</v>
      </c>
      <c r="J10" s="3" t="str">
        <f t="shared" si="2"/>
        <v>SALES</v>
      </c>
      <c r="K10" s="3" t="str">
        <f t="shared" si="3"/>
        <v>sales</v>
      </c>
      <c r="L10" s="3" t="str">
        <f t="shared" si="4"/>
        <v>Sales</v>
      </c>
      <c r="M10" s="3" t="s">
        <v>68</v>
      </c>
      <c r="N10" s="3" t="s">
        <v>48</v>
      </c>
      <c r="O10" s="4">
        <v>246421</v>
      </c>
      <c r="P10" s="3">
        <v>6</v>
      </c>
      <c r="Q10" s="3" t="s">
        <v>59</v>
      </c>
      <c r="R10" s="14" t="s">
        <v>180</v>
      </c>
    </row>
    <row r="11" spans="1:18" ht="16.5" customHeight="1" x14ac:dyDescent="0.35">
      <c r="A11" s="3" t="s">
        <v>69</v>
      </c>
      <c r="B11" s="3" t="s">
        <v>70</v>
      </c>
      <c r="C11" s="3" t="str">
        <f t="shared" si="0"/>
        <v>Tope</v>
      </c>
      <c r="D11" s="3" t="str">
        <f>_xlfn.TEXTAFTER(B11, " ")</f>
        <v>Ade</v>
      </c>
      <c r="E11" s="3" t="str">
        <f>TRIM(C11)</f>
        <v>Tope</v>
      </c>
      <c r="F11" s="3" t="str">
        <f t="shared" si="1"/>
        <v>Ade</v>
      </c>
      <c r="G11" s="3" t="str">
        <f>LOWER(C11&amp; "." &amp; D11 &amp; "@dame.com")</f>
        <v>tope.ade@dame.com</v>
      </c>
      <c r="H11" s="3">
        <f>LEN(SUBSTITUTE(B11," ",""))</f>
        <v>7</v>
      </c>
      <c r="I11" s="3" t="s">
        <v>71</v>
      </c>
      <c r="J11" s="3" t="str">
        <f t="shared" si="2"/>
        <v>HR</v>
      </c>
      <c r="K11" s="3" t="str">
        <f t="shared" si="3"/>
        <v>hr</v>
      </c>
      <c r="L11" s="3" t="str">
        <f t="shared" si="4"/>
        <v>Hr</v>
      </c>
      <c r="M11" s="3" t="s">
        <v>68</v>
      </c>
      <c r="N11" s="3" t="s">
        <v>48</v>
      </c>
      <c r="O11" s="4">
        <v>403684</v>
      </c>
      <c r="P11" s="3">
        <v>3</v>
      </c>
      <c r="Q11" s="3" t="s">
        <v>49</v>
      </c>
      <c r="R11" s="11">
        <f>AVERAGEIF(J:J, "Hr", O:O)</f>
        <v>353549.25</v>
      </c>
    </row>
    <row r="12" spans="1:18" ht="16.5" customHeight="1" x14ac:dyDescent="0.35">
      <c r="A12" s="3" t="s">
        <v>72</v>
      </c>
      <c r="B12" s="3" t="s">
        <v>64</v>
      </c>
      <c r="C12" s="3" t="str">
        <f t="shared" si="0"/>
        <v>James</v>
      </c>
      <c r="D12" s="3" t="str">
        <f>_xlfn.TEXTAFTER(B12, " ")</f>
        <v>Obi</v>
      </c>
      <c r="E12" s="3" t="str">
        <f>TRIM(C12)</f>
        <v>James</v>
      </c>
      <c r="F12" s="3" t="str">
        <f t="shared" si="1"/>
        <v>Obi</v>
      </c>
      <c r="G12" s="3" t="str">
        <f>LOWER(C12&amp; "." &amp; D12 &amp; "@dame.com")</f>
        <v>james.obi@dame.com</v>
      </c>
      <c r="H12" s="3">
        <f>LEN(SUBSTITUTE(B12," ",""))</f>
        <v>8</v>
      </c>
      <c r="I12" s="3" t="s">
        <v>46</v>
      </c>
      <c r="J12" s="3" t="str">
        <f t="shared" si="2"/>
        <v>MARKETING</v>
      </c>
      <c r="K12" s="3" t="str">
        <f t="shared" si="3"/>
        <v>marketing</v>
      </c>
      <c r="L12" s="3" t="str">
        <f t="shared" si="4"/>
        <v>Marketing</v>
      </c>
      <c r="M12" s="3" t="s">
        <v>73</v>
      </c>
      <c r="N12" s="3" t="s">
        <v>43</v>
      </c>
      <c r="O12" s="4">
        <v>317995</v>
      </c>
      <c r="P12" s="3">
        <v>9</v>
      </c>
      <c r="Q12" s="3" t="s">
        <v>59</v>
      </c>
    </row>
    <row r="13" spans="1:18" ht="16.5" customHeight="1" x14ac:dyDescent="0.45">
      <c r="A13" s="3" t="s">
        <v>74</v>
      </c>
      <c r="B13" s="3" t="s">
        <v>75</v>
      </c>
      <c r="C13" s="3" t="str">
        <f t="shared" si="0"/>
        <v>Chika</v>
      </c>
      <c r="D13" s="3" t="str">
        <f>_xlfn.TEXTAFTER(B13, " ")</f>
        <v>Umeh</v>
      </c>
      <c r="E13" s="3" t="str">
        <f>TRIM(C13)</f>
        <v>Chika</v>
      </c>
      <c r="F13" s="3" t="str">
        <f t="shared" si="1"/>
        <v>Umeh</v>
      </c>
      <c r="G13" s="3" t="str">
        <f>LOWER(C13&amp; "." &amp; D13 &amp; "@dame.com")</f>
        <v>chika.umeh@dame.com</v>
      </c>
      <c r="H13" s="3">
        <f>LEN(SUBSTITUTE(B13," ",""))</f>
        <v>9</v>
      </c>
      <c r="I13" s="3" t="s">
        <v>71</v>
      </c>
      <c r="J13" s="3" t="str">
        <f t="shared" si="2"/>
        <v>HR</v>
      </c>
      <c r="K13" s="3" t="str">
        <f t="shared" si="3"/>
        <v>hr</v>
      </c>
      <c r="L13" s="3" t="str">
        <f t="shared" si="4"/>
        <v>Hr</v>
      </c>
      <c r="M13" s="3" t="s">
        <v>76</v>
      </c>
      <c r="N13" s="3" t="s">
        <v>43</v>
      </c>
      <c r="O13" s="4">
        <v>242669</v>
      </c>
      <c r="P13" s="3">
        <v>6</v>
      </c>
      <c r="Q13" s="3" t="s">
        <v>59</v>
      </c>
      <c r="R13" s="14" t="s">
        <v>181</v>
      </c>
    </row>
    <row r="14" spans="1:18" ht="16.5" customHeight="1" x14ac:dyDescent="0.35">
      <c r="A14" s="3" t="s">
        <v>77</v>
      </c>
      <c r="B14" s="3" t="s">
        <v>75</v>
      </c>
      <c r="C14" s="3" t="str">
        <f t="shared" si="0"/>
        <v>Chika</v>
      </c>
      <c r="D14" s="3" t="str">
        <f>_xlfn.TEXTAFTER(B14, " ")</f>
        <v>Umeh</v>
      </c>
      <c r="E14" s="3" t="str">
        <f>TRIM(C14)</f>
        <v>Chika</v>
      </c>
      <c r="F14" s="3" t="str">
        <f t="shared" si="1"/>
        <v>Umeh</v>
      </c>
      <c r="G14" s="3" t="str">
        <f>LOWER(C14&amp; "." &amp; D14 &amp; "@dame.com")</f>
        <v>chika.umeh@dame.com</v>
      </c>
      <c r="H14" s="3">
        <f>LEN(SUBSTITUTE(B14," ",""))</f>
        <v>9</v>
      </c>
      <c r="I14" s="3" t="s">
        <v>71</v>
      </c>
      <c r="J14" s="3" t="str">
        <f t="shared" si="2"/>
        <v>HR</v>
      </c>
      <c r="K14" s="3" t="str">
        <f t="shared" si="3"/>
        <v>hr</v>
      </c>
      <c r="L14" s="3" t="str">
        <f t="shared" si="4"/>
        <v>Hr</v>
      </c>
      <c r="M14" s="3" t="s">
        <v>55</v>
      </c>
      <c r="N14" s="3" t="s">
        <v>48</v>
      </c>
      <c r="O14" s="4">
        <v>364238</v>
      </c>
      <c r="P14" s="3">
        <v>7</v>
      </c>
      <c r="Q14" s="3" t="s">
        <v>56</v>
      </c>
      <c r="R14">
        <f>SUMIFS(O:O,P:P,"&gt;3")</f>
        <v>22843550</v>
      </c>
    </row>
    <row r="15" spans="1:18" ht="16.5" customHeight="1" x14ac:dyDescent="0.35">
      <c r="A15" s="3" t="s">
        <v>78</v>
      </c>
      <c r="B15" s="3" t="s">
        <v>40</v>
      </c>
      <c r="C15" s="3" t="str">
        <f t="shared" si="0"/>
        <v>Sade</v>
      </c>
      <c r="D15" s="3" t="str">
        <f>_xlfn.TEXTAFTER(B15, " ")</f>
        <v>Bassey</v>
      </c>
      <c r="E15" s="3" t="str">
        <f>TRIM(C15)</f>
        <v>Sade</v>
      </c>
      <c r="F15" s="3" t="str">
        <f t="shared" si="1"/>
        <v>Bassey</v>
      </c>
      <c r="G15" s="3" t="str">
        <f>LOWER(C15&amp; "." &amp; D15 &amp; "@dame.com")</f>
        <v>sade.bassey@dame.com</v>
      </c>
      <c r="H15" s="3">
        <f>LEN(SUBSTITUTE(B15," ",""))</f>
        <v>10</v>
      </c>
      <c r="I15" s="3" t="s">
        <v>54</v>
      </c>
      <c r="J15" s="3" t="str">
        <f t="shared" si="2"/>
        <v>FINANCE</v>
      </c>
      <c r="K15" s="3" t="str">
        <f t="shared" si="3"/>
        <v>finance</v>
      </c>
      <c r="L15" s="3" t="str">
        <f t="shared" si="4"/>
        <v>Finance</v>
      </c>
      <c r="M15" s="3" t="s">
        <v>79</v>
      </c>
      <c r="N15" s="3" t="s">
        <v>43</v>
      </c>
      <c r="O15" s="4">
        <v>215724</v>
      </c>
      <c r="P15" s="3">
        <v>9</v>
      </c>
      <c r="Q15" s="3" t="s">
        <v>66</v>
      </c>
    </row>
    <row r="16" spans="1:18" ht="16.5" customHeight="1" x14ac:dyDescent="0.45">
      <c r="A16" s="3" t="s">
        <v>80</v>
      </c>
      <c r="B16" s="3" t="s">
        <v>75</v>
      </c>
      <c r="C16" s="3" t="str">
        <f t="shared" si="0"/>
        <v>Chika</v>
      </c>
      <c r="D16" s="3" t="str">
        <f>_xlfn.TEXTAFTER(B16, " ")</f>
        <v>Umeh</v>
      </c>
      <c r="E16" s="3" t="str">
        <f>TRIM(C16)</f>
        <v>Chika</v>
      </c>
      <c r="F16" s="3" t="str">
        <f t="shared" si="1"/>
        <v>Umeh</v>
      </c>
      <c r="G16" s="3" t="str">
        <f>LOWER(C16&amp; "." &amp; D16 &amp; "@dame.com")</f>
        <v>chika.umeh@dame.com</v>
      </c>
      <c r="H16" s="3">
        <f>LEN(SUBSTITUTE(B16," ",""))</f>
        <v>9</v>
      </c>
      <c r="I16" s="3" t="s">
        <v>46</v>
      </c>
      <c r="J16" s="3" t="str">
        <f t="shared" si="2"/>
        <v>MARKETING</v>
      </c>
      <c r="K16" s="3" t="str">
        <f t="shared" si="3"/>
        <v>marketing</v>
      </c>
      <c r="L16" s="3" t="str">
        <f t="shared" si="4"/>
        <v>Marketing</v>
      </c>
      <c r="M16" s="3" t="s">
        <v>76</v>
      </c>
      <c r="N16" s="3" t="s">
        <v>48</v>
      </c>
      <c r="O16" s="4">
        <v>301679</v>
      </c>
      <c r="P16" s="3">
        <v>10</v>
      </c>
      <c r="Q16" s="3" t="s">
        <v>49</v>
      </c>
      <c r="R16" s="13" t="s">
        <v>182</v>
      </c>
    </row>
    <row r="17" spans="1:18" ht="16.5" customHeight="1" x14ac:dyDescent="0.35">
      <c r="A17" s="3" t="s">
        <v>81</v>
      </c>
      <c r="B17" s="3" t="s">
        <v>58</v>
      </c>
      <c r="C17" s="3" t="str">
        <f t="shared" si="0"/>
        <v>Ibrahim</v>
      </c>
      <c r="D17" s="3" t="str">
        <f>_xlfn.TEXTAFTER(B17, " ")</f>
        <v>Musa</v>
      </c>
      <c r="E17" s="3" t="str">
        <f>TRIM(C17)</f>
        <v>Ibrahim</v>
      </c>
      <c r="F17" s="3" t="str">
        <f t="shared" si="1"/>
        <v>Musa</v>
      </c>
      <c r="G17" s="3" t="str">
        <f>LOWER(C17&amp; "." &amp; D17 &amp; "@dame.com")</f>
        <v>ibrahim.musa@dame.com</v>
      </c>
      <c r="H17" s="3">
        <f>LEN(SUBSTITUTE(B17," ",""))</f>
        <v>11</v>
      </c>
      <c r="I17" s="3" t="s">
        <v>41</v>
      </c>
      <c r="J17" s="3" t="str">
        <f t="shared" si="2"/>
        <v>IT</v>
      </c>
      <c r="K17" s="3" t="str">
        <f t="shared" si="3"/>
        <v>it</v>
      </c>
      <c r="L17" s="3" t="str">
        <f t="shared" si="4"/>
        <v>It</v>
      </c>
      <c r="M17" s="3" t="s">
        <v>79</v>
      </c>
      <c r="N17" s="3" t="s">
        <v>48</v>
      </c>
      <c r="O17" s="4">
        <v>243689</v>
      </c>
      <c r="P17" s="3">
        <v>3</v>
      </c>
      <c r="Q17" s="3" t="s">
        <v>59</v>
      </c>
      <c r="R17" t="e">
        <f>AVERAGEIFS(N:N, O:O, "Female")</f>
        <v>#DIV/0!</v>
      </c>
    </row>
    <row r="18" spans="1:18" ht="16.5" customHeight="1" x14ac:dyDescent="0.35">
      <c r="A18" s="3" t="s">
        <v>82</v>
      </c>
      <c r="B18" s="3" t="s">
        <v>61</v>
      </c>
      <c r="C18" s="3" t="str">
        <f t="shared" si="0"/>
        <v>Tunde</v>
      </c>
      <c r="D18" s="3" t="str">
        <f>_xlfn.TEXTAFTER(B18, " ")</f>
        <v>Salisu</v>
      </c>
      <c r="E18" s="3" t="str">
        <f>TRIM(C18)</f>
        <v>Tunde</v>
      </c>
      <c r="F18" s="3" t="str">
        <f t="shared" si="1"/>
        <v>Salisu</v>
      </c>
      <c r="G18" s="3" t="str">
        <f>LOWER(C18&amp; "." &amp; D18 &amp; "@dame.com")</f>
        <v>tunde.salisu@dame.com</v>
      </c>
      <c r="H18" s="3">
        <f>LEN(SUBSTITUTE(B18," ",""))</f>
        <v>11</v>
      </c>
      <c r="I18" s="3" t="s">
        <v>41</v>
      </c>
      <c r="J18" s="3" t="str">
        <f t="shared" si="2"/>
        <v>IT</v>
      </c>
      <c r="K18" s="3" t="str">
        <f t="shared" si="3"/>
        <v>it</v>
      </c>
      <c r="L18" s="3" t="str">
        <f t="shared" si="4"/>
        <v>It</v>
      </c>
      <c r="M18" s="3" t="s">
        <v>42</v>
      </c>
      <c r="N18" s="3" t="s">
        <v>43</v>
      </c>
      <c r="O18" s="4">
        <v>465805</v>
      </c>
      <c r="P18" s="3">
        <v>10</v>
      </c>
      <c r="Q18" s="3" t="s">
        <v>49</v>
      </c>
    </row>
    <row r="19" spans="1:18" ht="16.5" customHeight="1" x14ac:dyDescent="0.45">
      <c r="A19" s="3" t="s">
        <v>83</v>
      </c>
      <c r="B19" s="3" t="s">
        <v>75</v>
      </c>
      <c r="C19" s="3" t="str">
        <f t="shared" si="0"/>
        <v>Chika</v>
      </c>
      <c r="D19" s="3" t="str">
        <f>_xlfn.TEXTAFTER(B19, " ")</f>
        <v>Umeh</v>
      </c>
      <c r="E19" s="3" t="str">
        <f>TRIM(C19)</f>
        <v>Chika</v>
      </c>
      <c r="F19" s="3" t="str">
        <f t="shared" si="1"/>
        <v>Umeh</v>
      </c>
      <c r="G19" s="3" t="str">
        <f>LOWER(C19&amp; "." &amp; D19 &amp; "@dame.com")</f>
        <v>chika.umeh@dame.com</v>
      </c>
      <c r="H19" s="3">
        <f>LEN(SUBSTITUTE(B19," ",""))</f>
        <v>9</v>
      </c>
      <c r="I19" s="3" t="s">
        <v>46</v>
      </c>
      <c r="J19" s="3" t="str">
        <f t="shared" si="2"/>
        <v>MARKETING</v>
      </c>
      <c r="K19" s="3" t="str">
        <f t="shared" si="3"/>
        <v>marketing</v>
      </c>
      <c r="L19" s="3" t="str">
        <f t="shared" si="4"/>
        <v>Marketing</v>
      </c>
      <c r="M19" s="3" t="s">
        <v>47</v>
      </c>
      <c r="N19" s="3" t="s">
        <v>48</v>
      </c>
      <c r="O19" s="4">
        <v>414186</v>
      </c>
      <c r="P19" s="3">
        <v>7</v>
      </c>
      <c r="Q19" s="3" t="s">
        <v>66</v>
      </c>
      <c r="R19" s="13" t="s">
        <v>183</v>
      </c>
    </row>
    <row r="20" spans="1:18" ht="16.5" customHeight="1" x14ac:dyDescent="0.35">
      <c r="A20" s="3" t="s">
        <v>84</v>
      </c>
      <c r="B20" s="3" t="s">
        <v>85</v>
      </c>
      <c r="C20" s="3" t="str">
        <f t="shared" si="0"/>
        <v>Maria</v>
      </c>
      <c r="D20" s="3" t="str">
        <f>_xlfn.TEXTAFTER(B20, " ")</f>
        <v>Okafor</v>
      </c>
      <c r="E20" s="3" t="str">
        <f>TRIM(C20)</f>
        <v>Maria</v>
      </c>
      <c r="F20" s="3" t="str">
        <f t="shared" si="1"/>
        <v>Okafor</v>
      </c>
      <c r="G20" s="3" t="str">
        <f>LOWER(C20&amp; "." &amp; D20 &amp; "@dame.com")</f>
        <v>maria.okafor@dame.com</v>
      </c>
      <c r="H20" s="3">
        <f>LEN(SUBSTITUTE(B20," ",""))</f>
        <v>11</v>
      </c>
      <c r="I20" s="3" t="s">
        <v>71</v>
      </c>
      <c r="J20" s="3" t="str">
        <f t="shared" si="2"/>
        <v>HR</v>
      </c>
      <c r="K20" s="3" t="str">
        <f t="shared" si="3"/>
        <v>hr</v>
      </c>
      <c r="L20" s="3" t="str">
        <f t="shared" si="4"/>
        <v>Hr</v>
      </c>
      <c r="M20" s="3" t="s">
        <v>47</v>
      </c>
      <c r="N20" s="3" t="s">
        <v>48</v>
      </c>
      <c r="O20" s="4">
        <v>282557</v>
      </c>
      <c r="P20" s="3">
        <v>9</v>
      </c>
      <c r="Q20" s="3" t="s">
        <v>56</v>
      </c>
      <c r="R20">
        <f>COUNTIF(N:N, "Female")</f>
        <v>54</v>
      </c>
    </row>
    <row r="21" spans="1:18" ht="16.5" customHeight="1" x14ac:dyDescent="0.35">
      <c r="A21" s="3" t="s">
        <v>86</v>
      </c>
      <c r="B21" s="3" t="s">
        <v>64</v>
      </c>
      <c r="C21" s="3" t="str">
        <f t="shared" si="0"/>
        <v>James</v>
      </c>
      <c r="D21" s="3" t="str">
        <f>_xlfn.TEXTAFTER(B21, " ")</f>
        <v>Obi</v>
      </c>
      <c r="E21" s="3" t="str">
        <f>TRIM(C21)</f>
        <v>James</v>
      </c>
      <c r="F21" s="3" t="str">
        <f t="shared" si="1"/>
        <v>Obi</v>
      </c>
      <c r="G21" s="3" t="str">
        <f>LOWER(C21&amp; "." &amp; D21 &amp; "@dame.com")</f>
        <v>james.obi@dame.com</v>
      </c>
      <c r="H21" s="3">
        <f>LEN(SUBSTITUTE(B21," ",""))</f>
        <v>8</v>
      </c>
      <c r="I21" s="3" t="s">
        <v>71</v>
      </c>
      <c r="J21" s="3" t="str">
        <f t="shared" si="2"/>
        <v>HR</v>
      </c>
      <c r="K21" s="3" t="str">
        <f t="shared" si="3"/>
        <v>hr</v>
      </c>
      <c r="L21" s="3" t="str">
        <f t="shared" si="4"/>
        <v>Hr</v>
      </c>
      <c r="M21" s="3" t="s">
        <v>87</v>
      </c>
      <c r="N21" s="3" t="s">
        <v>43</v>
      </c>
      <c r="O21" s="4">
        <v>330692</v>
      </c>
      <c r="P21" s="3">
        <v>10</v>
      </c>
      <c r="Q21" s="3" t="s">
        <v>59</v>
      </c>
    </row>
    <row r="22" spans="1:18" ht="16.5" customHeight="1" x14ac:dyDescent="0.45">
      <c r="A22" s="3" t="s">
        <v>88</v>
      </c>
      <c r="B22" s="3" t="s">
        <v>75</v>
      </c>
      <c r="C22" s="3" t="str">
        <f t="shared" si="0"/>
        <v>Chika</v>
      </c>
      <c r="D22" s="3" t="str">
        <f>_xlfn.TEXTAFTER(B22, " ")</f>
        <v>Umeh</v>
      </c>
      <c r="E22" s="3" t="str">
        <f>TRIM(C22)</f>
        <v>Chika</v>
      </c>
      <c r="F22" s="3" t="str">
        <f t="shared" si="1"/>
        <v>Umeh</v>
      </c>
      <c r="G22" s="3" t="str">
        <f>LOWER(C22&amp; "." &amp; D22 &amp; "@dame.com")</f>
        <v>chika.umeh@dame.com</v>
      </c>
      <c r="H22" s="3">
        <f>LEN(SUBSTITUTE(B22," ",""))</f>
        <v>9</v>
      </c>
      <c r="I22" s="3" t="s">
        <v>54</v>
      </c>
      <c r="J22" s="3" t="str">
        <f t="shared" si="2"/>
        <v>FINANCE</v>
      </c>
      <c r="K22" s="3" t="str">
        <f t="shared" si="3"/>
        <v>finance</v>
      </c>
      <c r="L22" s="3" t="str">
        <f t="shared" si="4"/>
        <v>Finance</v>
      </c>
      <c r="M22" s="3" t="s">
        <v>55</v>
      </c>
      <c r="N22" s="3" t="s">
        <v>43</v>
      </c>
      <c r="O22" s="4">
        <v>334719</v>
      </c>
      <c r="P22" s="3">
        <v>4</v>
      </c>
      <c r="Q22" s="3" t="s">
        <v>44</v>
      </c>
      <c r="R22" s="9" t="s">
        <v>184</v>
      </c>
    </row>
    <row r="23" spans="1:18" ht="16.5" customHeight="1" x14ac:dyDescent="0.35">
      <c r="A23" s="3" t="s">
        <v>89</v>
      </c>
      <c r="B23" s="3" t="s">
        <v>40</v>
      </c>
      <c r="C23" s="3" t="str">
        <f t="shared" si="0"/>
        <v>Sade</v>
      </c>
      <c r="D23" s="3" t="str">
        <f>_xlfn.TEXTAFTER(B23, " ")</f>
        <v>Bassey</v>
      </c>
      <c r="E23" s="3" t="str">
        <f>TRIM(C23)</f>
        <v>Sade</v>
      </c>
      <c r="F23" s="3" t="str">
        <f t="shared" si="1"/>
        <v>Bassey</v>
      </c>
      <c r="G23" s="3" t="str">
        <f>LOWER(C23&amp; "." &amp; D23 &amp; "@dame.com")</f>
        <v>sade.bassey@dame.com</v>
      </c>
      <c r="H23" s="3">
        <f>LEN(SUBSTITUTE(B23," ",""))</f>
        <v>10</v>
      </c>
      <c r="I23" s="3" t="s">
        <v>52</v>
      </c>
      <c r="J23" s="3" t="str">
        <f t="shared" si="2"/>
        <v>SALES</v>
      </c>
      <c r="K23" s="3" t="str">
        <f t="shared" si="3"/>
        <v>sales</v>
      </c>
      <c r="L23" s="3" t="str">
        <f t="shared" si="4"/>
        <v>Sales</v>
      </c>
      <c r="M23" s="3" t="s">
        <v>90</v>
      </c>
      <c r="N23" s="3" t="s">
        <v>48</v>
      </c>
      <c r="O23" s="4">
        <v>237212</v>
      </c>
      <c r="P23" s="3">
        <v>5</v>
      </c>
      <c r="Q23" s="3" t="s">
        <v>59</v>
      </c>
      <c r="R23">
        <f>_xlfn.MAXIFS(O:O, I:I, "IT")</f>
        <v>493395</v>
      </c>
    </row>
    <row r="24" spans="1:18" ht="16.5" customHeight="1" x14ac:dyDescent="0.35">
      <c r="A24" s="3" t="s">
        <v>91</v>
      </c>
      <c r="B24" s="3" t="s">
        <v>51</v>
      </c>
      <c r="C24" s="3" t="str">
        <f t="shared" si="0"/>
        <v>Faith</v>
      </c>
      <c r="D24" s="3" t="str">
        <f>_xlfn.TEXTAFTER(B24, " ")</f>
        <v>Udo</v>
      </c>
      <c r="E24" s="3" t="str">
        <f>TRIM(C24)</f>
        <v>Faith</v>
      </c>
      <c r="F24" s="3" t="str">
        <f t="shared" si="1"/>
        <v>Udo</v>
      </c>
      <c r="G24" s="3" t="str">
        <f>LOWER(C24&amp; "." &amp; D24 &amp; "@dame.com")</f>
        <v>faith.udo@dame.com</v>
      </c>
      <c r="H24" s="3">
        <f>LEN(SUBSTITUTE(B24," ",""))</f>
        <v>8</v>
      </c>
      <c r="I24" s="3" t="s">
        <v>54</v>
      </c>
      <c r="J24" s="3" t="str">
        <f t="shared" si="2"/>
        <v>FINANCE</v>
      </c>
      <c r="K24" s="3" t="str">
        <f t="shared" si="3"/>
        <v>finance</v>
      </c>
      <c r="L24" s="3" t="str">
        <f t="shared" si="4"/>
        <v>Finance</v>
      </c>
      <c r="M24" s="3" t="s">
        <v>62</v>
      </c>
      <c r="N24" s="3" t="s">
        <v>48</v>
      </c>
      <c r="O24" s="4">
        <v>382250</v>
      </c>
      <c r="P24" s="3">
        <v>1</v>
      </c>
      <c r="Q24" s="3" t="s">
        <v>59</v>
      </c>
    </row>
    <row r="25" spans="1:18" ht="16.5" customHeight="1" x14ac:dyDescent="0.35">
      <c r="A25" s="3" t="s">
        <v>92</v>
      </c>
      <c r="B25" s="3" t="s">
        <v>70</v>
      </c>
      <c r="C25" s="3" t="str">
        <f t="shared" si="0"/>
        <v>Tope</v>
      </c>
      <c r="D25" s="3" t="str">
        <f>_xlfn.TEXTAFTER(B25, " ")</f>
        <v>Ade</v>
      </c>
      <c r="E25" s="3" t="str">
        <f>TRIM(C25)</f>
        <v>Tope</v>
      </c>
      <c r="F25" s="3" t="str">
        <f t="shared" si="1"/>
        <v>Ade</v>
      </c>
      <c r="G25" s="3" t="str">
        <f>LOWER(C25&amp; "." &amp; D25 &amp; "@dame.com")</f>
        <v>tope.ade@dame.com</v>
      </c>
      <c r="H25" s="3">
        <f>LEN(SUBSTITUTE(B25," ",""))</f>
        <v>7</v>
      </c>
      <c r="I25" s="3" t="s">
        <v>41</v>
      </c>
      <c r="J25" s="3" t="str">
        <f t="shared" si="2"/>
        <v>IT</v>
      </c>
      <c r="K25" s="3" t="str">
        <f t="shared" si="3"/>
        <v>it</v>
      </c>
      <c r="L25" s="3" t="str">
        <f t="shared" si="4"/>
        <v>It</v>
      </c>
      <c r="M25" s="3" t="s">
        <v>76</v>
      </c>
      <c r="N25" s="3" t="s">
        <v>48</v>
      </c>
      <c r="O25" s="4">
        <v>422408</v>
      </c>
      <c r="P25" s="3">
        <v>9</v>
      </c>
      <c r="Q25" s="3" t="s">
        <v>59</v>
      </c>
    </row>
    <row r="26" spans="1:18" ht="16.5" customHeight="1" x14ac:dyDescent="0.35">
      <c r="A26" s="3" t="s">
        <v>93</v>
      </c>
      <c r="B26" s="3" t="s">
        <v>94</v>
      </c>
      <c r="C26" s="3" t="str">
        <f t="shared" si="0"/>
        <v>Ngozi</v>
      </c>
      <c r="D26" s="3" t="str">
        <f>_xlfn.TEXTAFTER(B26, " ")</f>
        <v>Bello</v>
      </c>
      <c r="E26" s="3" t="str">
        <f>TRIM(C26)</f>
        <v>Ngozi</v>
      </c>
      <c r="F26" s="3" t="str">
        <f t="shared" si="1"/>
        <v>Bello</v>
      </c>
      <c r="G26" s="3" t="str">
        <f>LOWER(C26&amp; "." &amp; D26 &amp; "@dame.com")</f>
        <v>ngozi.bello@dame.com</v>
      </c>
      <c r="H26" s="3">
        <f>LEN(SUBSTITUTE(B26," ",""))</f>
        <v>10</v>
      </c>
      <c r="I26" s="3" t="s">
        <v>71</v>
      </c>
      <c r="J26" s="3" t="str">
        <f t="shared" si="2"/>
        <v>HR</v>
      </c>
      <c r="K26" s="3" t="str">
        <f t="shared" si="3"/>
        <v>hr</v>
      </c>
      <c r="L26" s="3" t="str">
        <f t="shared" si="4"/>
        <v>Hr</v>
      </c>
      <c r="M26" s="3" t="s">
        <v>79</v>
      </c>
      <c r="N26" s="3" t="s">
        <v>43</v>
      </c>
      <c r="O26" s="4">
        <v>291740</v>
      </c>
      <c r="P26" s="3">
        <v>1</v>
      </c>
      <c r="Q26" s="3" t="s">
        <v>59</v>
      </c>
    </row>
    <row r="27" spans="1:18" ht="16.5" customHeight="1" x14ac:dyDescent="0.35">
      <c r="A27" s="3" t="s">
        <v>95</v>
      </c>
      <c r="B27" s="3" t="s">
        <v>51</v>
      </c>
      <c r="C27" s="3" t="str">
        <f t="shared" si="0"/>
        <v>Faith</v>
      </c>
      <c r="D27" s="3" t="str">
        <f>_xlfn.TEXTAFTER(B27, " ")</f>
        <v>Udo</v>
      </c>
      <c r="E27" s="3" t="str">
        <f>TRIM(C27)</f>
        <v>Faith</v>
      </c>
      <c r="F27" s="3" t="str">
        <f t="shared" si="1"/>
        <v>Udo</v>
      </c>
      <c r="G27" s="3" t="str">
        <f>LOWER(C27&amp; "." &amp; D27 &amp; "@dame.com")</f>
        <v>faith.udo@dame.com</v>
      </c>
      <c r="H27" s="3">
        <f>LEN(SUBSTITUTE(B27," ",""))</f>
        <v>8</v>
      </c>
      <c r="I27" s="3" t="s">
        <v>71</v>
      </c>
      <c r="J27" s="3" t="str">
        <f t="shared" si="2"/>
        <v>HR</v>
      </c>
      <c r="K27" s="3" t="str">
        <f t="shared" si="3"/>
        <v>hr</v>
      </c>
      <c r="L27" s="3" t="str">
        <f t="shared" si="4"/>
        <v>Hr</v>
      </c>
      <c r="M27" s="3" t="s">
        <v>90</v>
      </c>
      <c r="N27" s="3" t="s">
        <v>48</v>
      </c>
      <c r="O27" s="4">
        <v>417509</v>
      </c>
      <c r="P27" s="3">
        <v>7</v>
      </c>
      <c r="Q27" s="3" t="s">
        <v>66</v>
      </c>
    </row>
    <row r="28" spans="1:18" ht="16.5" customHeight="1" x14ac:dyDescent="0.35">
      <c r="A28" s="3" t="s">
        <v>96</v>
      </c>
      <c r="B28" s="3" t="s">
        <v>51</v>
      </c>
      <c r="C28" s="3" t="str">
        <f t="shared" si="0"/>
        <v>Faith</v>
      </c>
      <c r="D28" s="3" t="str">
        <f>_xlfn.TEXTAFTER(B28, " ")</f>
        <v>Udo</v>
      </c>
      <c r="E28" s="3" t="str">
        <f>TRIM(C28)</f>
        <v>Faith</v>
      </c>
      <c r="F28" s="3" t="str">
        <f t="shared" si="1"/>
        <v>Udo</v>
      </c>
      <c r="G28" s="3" t="str">
        <f>LOWER(C28&amp; "." &amp; D28 &amp; "@dame.com")</f>
        <v>faith.udo@dame.com</v>
      </c>
      <c r="H28" s="3">
        <f>LEN(SUBSTITUTE(B28," ",""))</f>
        <v>8</v>
      </c>
      <c r="I28" s="3" t="s">
        <v>52</v>
      </c>
      <c r="J28" s="3" t="str">
        <f t="shared" si="2"/>
        <v>SALES</v>
      </c>
      <c r="K28" s="3" t="str">
        <f t="shared" si="3"/>
        <v>sales</v>
      </c>
      <c r="L28" s="3" t="str">
        <f t="shared" si="4"/>
        <v>Sales</v>
      </c>
      <c r="M28" s="3" t="s">
        <v>47</v>
      </c>
      <c r="N28" s="3" t="s">
        <v>43</v>
      </c>
      <c r="O28" s="4">
        <v>450750</v>
      </c>
      <c r="P28" s="3">
        <v>4</v>
      </c>
      <c r="Q28" s="3" t="s">
        <v>44</v>
      </c>
    </row>
    <row r="29" spans="1:18" ht="16.5" customHeight="1" x14ac:dyDescent="0.35">
      <c r="A29" s="3" t="s">
        <v>97</v>
      </c>
      <c r="B29" s="3" t="s">
        <v>70</v>
      </c>
      <c r="C29" s="3" t="str">
        <f t="shared" si="0"/>
        <v>Tope</v>
      </c>
      <c r="D29" s="3" t="str">
        <f>_xlfn.TEXTAFTER(B29, " ")</f>
        <v>Ade</v>
      </c>
      <c r="E29" s="3" t="str">
        <f>TRIM(C29)</f>
        <v>Tope</v>
      </c>
      <c r="F29" s="3" t="str">
        <f t="shared" si="1"/>
        <v>Ade</v>
      </c>
      <c r="G29" s="3" t="str">
        <f>LOWER(C29&amp; "." &amp; D29 &amp; "@dame.com")</f>
        <v>tope.ade@dame.com</v>
      </c>
      <c r="H29" s="3">
        <f>LEN(SUBSTITUTE(B29," ",""))</f>
        <v>7</v>
      </c>
      <c r="I29" s="3" t="s">
        <v>71</v>
      </c>
      <c r="J29" s="3" t="str">
        <f t="shared" si="2"/>
        <v>HR</v>
      </c>
      <c r="K29" s="3" t="str">
        <f t="shared" si="3"/>
        <v>hr</v>
      </c>
      <c r="L29" s="3" t="str">
        <f t="shared" si="4"/>
        <v>Hr</v>
      </c>
      <c r="M29" s="3" t="s">
        <v>90</v>
      </c>
      <c r="N29" s="3" t="s">
        <v>43</v>
      </c>
      <c r="O29" s="4">
        <v>281642</v>
      </c>
      <c r="P29" s="3">
        <v>5</v>
      </c>
      <c r="Q29" s="3" t="s">
        <v>56</v>
      </c>
    </row>
    <row r="30" spans="1:18" ht="16.5" customHeight="1" x14ac:dyDescent="0.35">
      <c r="A30" s="3" t="s">
        <v>98</v>
      </c>
      <c r="B30" s="3" t="s">
        <v>64</v>
      </c>
      <c r="C30" s="3" t="str">
        <f t="shared" si="0"/>
        <v>James</v>
      </c>
      <c r="D30" s="3" t="str">
        <f>_xlfn.TEXTAFTER(B30, " ")</f>
        <v>Obi</v>
      </c>
      <c r="E30" s="3" t="str">
        <f>TRIM(C30)</f>
        <v>James</v>
      </c>
      <c r="F30" s="3" t="str">
        <f t="shared" si="1"/>
        <v>Obi</v>
      </c>
      <c r="G30" s="3" t="str">
        <f>LOWER(C30&amp; "." &amp; D30 &amp; "@dame.com")</f>
        <v>james.obi@dame.com</v>
      </c>
      <c r="H30" s="3">
        <f>LEN(SUBSTITUTE(B30," ",""))</f>
        <v>8</v>
      </c>
      <c r="I30" s="3" t="s">
        <v>52</v>
      </c>
      <c r="J30" s="3" t="str">
        <f t="shared" si="2"/>
        <v>SALES</v>
      </c>
      <c r="K30" s="3" t="str">
        <f t="shared" si="3"/>
        <v>sales</v>
      </c>
      <c r="L30" s="3" t="str">
        <f t="shared" si="4"/>
        <v>Sales</v>
      </c>
      <c r="M30" s="3" t="s">
        <v>62</v>
      </c>
      <c r="N30" s="3" t="s">
        <v>48</v>
      </c>
      <c r="O30" s="4">
        <v>291645</v>
      </c>
      <c r="P30" s="3">
        <v>10</v>
      </c>
      <c r="Q30" s="3" t="s">
        <v>44</v>
      </c>
    </row>
    <row r="31" spans="1:18" ht="16.5" customHeight="1" x14ac:dyDescent="0.35">
      <c r="A31" s="3" t="s">
        <v>99</v>
      </c>
      <c r="B31" s="3" t="s">
        <v>58</v>
      </c>
      <c r="C31" s="3" t="str">
        <f t="shared" si="0"/>
        <v>Ibrahim</v>
      </c>
      <c r="D31" s="3" t="str">
        <f>_xlfn.TEXTAFTER(B31, " ")</f>
        <v>Musa</v>
      </c>
      <c r="E31" s="3" t="str">
        <f>TRIM(C31)</f>
        <v>Ibrahim</v>
      </c>
      <c r="F31" s="3" t="str">
        <f t="shared" si="1"/>
        <v>Musa</v>
      </c>
      <c r="G31" s="3" t="str">
        <f>LOWER(C31&amp; "." &amp; D31 &amp; "@dame.com")</f>
        <v>ibrahim.musa@dame.com</v>
      </c>
      <c r="H31" s="3">
        <f>LEN(SUBSTITUTE(B31," ",""))</f>
        <v>11</v>
      </c>
      <c r="I31" s="3" t="s">
        <v>41</v>
      </c>
      <c r="J31" s="3" t="str">
        <f t="shared" si="2"/>
        <v>IT</v>
      </c>
      <c r="K31" s="3" t="str">
        <f t="shared" si="3"/>
        <v>it</v>
      </c>
      <c r="L31" s="3" t="str">
        <f t="shared" si="4"/>
        <v>It</v>
      </c>
      <c r="M31" s="3" t="s">
        <v>62</v>
      </c>
      <c r="N31" s="3" t="s">
        <v>48</v>
      </c>
      <c r="O31" s="4">
        <v>309288</v>
      </c>
      <c r="P31" s="3">
        <v>7</v>
      </c>
      <c r="Q31" s="3" t="s">
        <v>59</v>
      </c>
    </row>
    <row r="32" spans="1:18" ht="16.5" customHeight="1" x14ac:dyDescent="0.35">
      <c r="A32" s="3" t="s">
        <v>100</v>
      </c>
      <c r="B32" s="3" t="s">
        <v>58</v>
      </c>
      <c r="C32" s="3" t="str">
        <f t="shared" si="0"/>
        <v>Ibrahim</v>
      </c>
      <c r="D32" s="3" t="str">
        <f>_xlfn.TEXTAFTER(B32, " ")</f>
        <v>Musa</v>
      </c>
      <c r="E32" s="3" t="str">
        <f>TRIM(C32)</f>
        <v>Ibrahim</v>
      </c>
      <c r="F32" s="3" t="str">
        <f t="shared" si="1"/>
        <v>Musa</v>
      </c>
      <c r="G32" s="3" t="str">
        <f>LOWER(C32&amp; "." &amp; D32 &amp; "@dame.com")</f>
        <v>ibrahim.musa@dame.com</v>
      </c>
      <c r="H32" s="3">
        <f>LEN(SUBSTITUTE(B32," ",""))</f>
        <v>11</v>
      </c>
      <c r="I32" s="3" t="s">
        <v>71</v>
      </c>
      <c r="J32" s="3" t="str">
        <f t="shared" si="2"/>
        <v>HR</v>
      </c>
      <c r="K32" s="3" t="str">
        <f t="shared" si="3"/>
        <v>hr</v>
      </c>
      <c r="L32" s="3" t="str">
        <f t="shared" si="4"/>
        <v>Hr</v>
      </c>
      <c r="M32" s="3" t="s">
        <v>47</v>
      </c>
      <c r="N32" s="3" t="s">
        <v>43</v>
      </c>
      <c r="O32" s="4">
        <v>271687</v>
      </c>
      <c r="P32" s="3">
        <v>10</v>
      </c>
      <c r="Q32" s="3" t="s">
        <v>59</v>
      </c>
    </row>
    <row r="33" spans="1:17" ht="16.5" customHeight="1" x14ac:dyDescent="0.35">
      <c r="A33" s="3" t="s">
        <v>101</v>
      </c>
      <c r="B33" s="3" t="s">
        <v>51</v>
      </c>
      <c r="C33" s="3" t="str">
        <f t="shared" si="0"/>
        <v>Faith</v>
      </c>
      <c r="D33" s="3" t="str">
        <f>_xlfn.TEXTAFTER(B33, " ")</f>
        <v>Udo</v>
      </c>
      <c r="E33" s="3" t="str">
        <f>TRIM(C33)</f>
        <v>Faith</v>
      </c>
      <c r="F33" s="3" t="str">
        <f t="shared" si="1"/>
        <v>Udo</v>
      </c>
      <c r="G33" s="3" t="str">
        <f>LOWER(C33&amp; "." &amp; D33 &amp; "@dame.com")</f>
        <v>faith.udo@dame.com</v>
      </c>
      <c r="H33" s="3">
        <f>LEN(SUBSTITUTE(B33," ",""))</f>
        <v>8</v>
      </c>
      <c r="I33" s="3" t="s">
        <v>41</v>
      </c>
      <c r="J33" s="3" t="str">
        <f t="shared" si="2"/>
        <v>IT</v>
      </c>
      <c r="K33" s="3" t="str">
        <f t="shared" si="3"/>
        <v>it</v>
      </c>
      <c r="L33" s="3" t="str">
        <f t="shared" si="4"/>
        <v>It</v>
      </c>
      <c r="M33" s="3" t="s">
        <v>62</v>
      </c>
      <c r="N33" s="3" t="s">
        <v>43</v>
      </c>
      <c r="O33" s="4">
        <v>365101</v>
      </c>
      <c r="P33" s="3">
        <v>9</v>
      </c>
      <c r="Q33" s="3" t="s">
        <v>56</v>
      </c>
    </row>
    <row r="34" spans="1:17" ht="16.5" customHeight="1" x14ac:dyDescent="0.35">
      <c r="A34" s="3" t="s">
        <v>102</v>
      </c>
      <c r="B34" s="3" t="s">
        <v>94</v>
      </c>
      <c r="C34" s="3" t="str">
        <f t="shared" si="0"/>
        <v>Ngozi</v>
      </c>
      <c r="D34" s="3" t="str">
        <f>_xlfn.TEXTAFTER(B34, " ")</f>
        <v>Bello</v>
      </c>
      <c r="E34" s="3" t="str">
        <f>TRIM(C34)</f>
        <v>Ngozi</v>
      </c>
      <c r="F34" s="3" t="str">
        <f t="shared" si="1"/>
        <v>Bello</v>
      </c>
      <c r="G34" s="3" t="str">
        <f>LOWER(C34&amp; "." &amp; D34 &amp; "@dame.com")</f>
        <v>ngozi.bello@dame.com</v>
      </c>
      <c r="H34" s="3">
        <f>LEN(SUBSTITUTE(B34," ",""))</f>
        <v>10</v>
      </c>
      <c r="I34" s="3" t="s">
        <v>41</v>
      </c>
      <c r="J34" s="3" t="str">
        <f t="shared" si="2"/>
        <v>IT</v>
      </c>
      <c r="K34" s="3" t="str">
        <f t="shared" si="3"/>
        <v>it</v>
      </c>
      <c r="L34" s="3" t="str">
        <f t="shared" si="4"/>
        <v>It</v>
      </c>
      <c r="M34" s="3" t="s">
        <v>90</v>
      </c>
      <c r="N34" s="3" t="s">
        <v>43</v>
      </c>
      <c r="O34" s="4">
        <v>472149</v>
      </c>
      <c r="P34" s="3">
        <v>7</v>
      </c>
      <c r="Q34" s="3" t="s">
        <v>66</v>
      </c>
    </row>
    <row r="35" spans="1:17" ht="16.5" customHeight="1" x14ac:dyDescent="0.35">
      <c r="A35" s="3" t="s">
        <v>103</v>
      </c>
      <c r="B35" s="3" t="s">
        <v>58</v>
      </c>
      <c r="C35" s="3" t="str">
        <f t="shared" si="0"/>
        <v>Ibrahim</v>
      </c>
      <c r="D35" s="3" t="str">
        <f>_xlfn.TEXTAFTER(B35, " ")</f>
        <v>Musa</v>
      </c>
      <c r="E35" s="3" t="str">
        <f>TRIM(C35)</f>
        <v>Ibrahim</v>
      </c>
      <c r="F35" s="3" t="str">
        <f t="shared" si="1"/>
        <v>Musa</v>
      </c>
      <c r="G35" s="3" t="str">
        <f>LOWER(C35&amp; "." &amp; D35 &amp; "@dame.com")</f>
        <v>ibrahim.musa@dame.com</v>
      </c>
      <c r="H35" s="3">
        <f>LEN(SUBSTITUTE(B35," ",""))</f>
        <v>11</v>
      </c>
      <c r="I35" s="3" t="s">
        <v>52</v>
      </c>
      <c r="J35" s="3" t="str">
        <f t="shared" si="2"/>
        <v>SALES</v>
      </c>
      <c r="K35" s="3" t="str">
        <f t="shared" si="3"/>
        <v>sales</v>
      </c>
      <c r="L35" s="3" t="str">
        <f t="shared" si="4"/>
        <v>Sales</v>
      </c>
      <c r="M35" s="3" t="s">
        <v>90</v>
      </c>
      <c r="N35" s="3" t="s">
        <v>43</v>
      </c>
      <c r="O35" s="4">
        <v>408551</v>
      </c>
      <c r="P35" s="3">
        <v>7</v>
      </c>
      <c r="Q35" s="3" t="s">
        <v>66</v>
      </c>
    </row>
    <row r="36" spans="1:17" ht="16.5" customHeight="1" x14ac:dyDescent="0.35">
      <c r="A36" s="3" t="s">
        <v>104</v>
      </c>
      <c r="B36" s="3" t="s">
        <v>94</v>
      </c>
      <c r="C36" s="3" t="str">
        <f t="shared" si="0"/>
        <v>Ngozi</v>
      </c>
      <c r="D36" s="3" t="str">
        <f>_xlfn.TEXTAFTER(B36, " ")</f>
        <v>Bello</v>
      </c>
      <c r="E36" s="3" t="str">
        <f>TRIM(C36)</f>
        <v>Ngozi</v>
      </c>
      <c r="F36" s="3" t="str">
        <f t="shared" si="1"/>
        <v>Bello</v>
      </c>
      <c r="G36" s="3" t="str">
        <f>LOWER(C36&amp; "." &amp; D36 &amp; "@dame.com")</f>
        <v>ngozi.bello@dame.com</v>
      </c>
      <c r="H36" s="3">
        <f>LEN(SUBSTITUTE(B36," ",""))</f>
        <v>10</v>
      </c>
      <c r="I36" s="3" t="s">
        <v>52</v>
      </c>
      <c r="J36" s="3" t="str">
        <f t="shared" si="2"/>
        <v>SALES</v>
      </c>
      <c r="K36" s="3" t="str">
        <f t="shared" si="3"/>
        <v>sales</v>
      </c>
      <c r="L36" s="3" t="str">
        <f t="shared" si="4"/>
        <v>Sales</v>
      </c>
      <c r="M36" s="3" t="s">
        <v>90</v>
      </c>
      <c r="N36" s="3" t="s">
        <v>48</v>
      </c>
      <c r="O36" s="4">
        <v>334912</v>
      </c>
      <c r="P36" s="3">
        <v>2</v>
      </c>
      <c r="Q36" s="3" t="s">
        <v>66</v>
      </c>
    </row>
    <row r="37" spans="1:17" ht="16.5" customHeight="1" x14ac:dyDescent="0.35">
      <c r="A37" s="3" t="s">
        <v>105</v>
      </c>
      <c r="B37" s="3" t="s">
        <v>75</v>
      </c>
      <c r="C37" s="3" t="str">
        <f t="shared" si="0"/>
        <v>Chika</v>
      </c>
      <c r="D37" s="3" t="str">
        <f>_xlfn.TEXTAFTER(B37, " ")</f>
        <v>Umeh</v>
      </c>
      <c r="E37" s="3" t="str">
        <f>TRIM(C37)</f>
        <v>Chika</v>
      </c>
      <c r="F37" s="3" t="str">
        <f t="shared" si="1"/>
        <v>Umeh</v>
      </c>
      <c r="G37" s="3" t="str">
        <f>LOWER(C37&amp; "." &amp; D37 &amp; "@dame.com")</f>
        <v>chika.umeh@dame.com</v>
      </c>
      <c r="H37" s="3">
        <f>LEN(SUBSTITUTE(B37," ",""))</f>
        <v>9</v>
      </c>
      <c r="I37" s="3" t="s">
        <v>54</v>
      </c>
      <c r="J37" s="3" t="str">
        <f t="shared" si="2"/>
        <v>FINANCE</v>
      </c>
      <c r="K37" s="3" t="str">
        <f t="shared" si="3"/>
        <v>finance</v>
      </c>
      <c r="L37" s="3" t="str">
        <f t="shared" si="4"/>
        <v>Finance</v>
      </c>
      <c r="M37" s="3" t="s">
        <v>55</v>
      </c>
      <c r="N37" s="3" t="s">
        <v>48</v>
      </c>
      <c r="O37" s="4">
        <v>311844</v>
      </c>
      <c r="P37" s="3">
        <v>8</v>
      </c>
      <c r="Q37" s="3" t="s">
        <v>56</v>
      </c>
    </row>
    <row r="38" spans="1:17" ht="16.5" customHeight="1" x14ac:dyDescent="0.35">
      <c r="A38" s="3" t="s">
        <v>106</v>
      </c>
      <c r="B38" s="3" t="s">
        <v>70</v>
      </c>
      <c r="C38" s="3" t="str">
        <f t="shared" si="0"/>
        <v>Tope</v>
      </c>
      <c r="D38" s="3" t="str">
        <f>_xlfn.TEXTAFTER(B38, " ")</f>
        <v>Ade</v>
      </c>
      <c r="E38" s="3" t="str">
        <f>TRIM(C38)</f>
        <v>Tope</v>
      </c>
      <c r="F38" s="3" t="str">
        <f t="shared" si="1"/>
        <v>Ade</v>
      </c>
      <c r="G38" s="3" t="str">
        <f>LOWER(C38&amp; "." &amp; D38 &amp; "@dame.com")</f>
        <v>tope.ade@dame.com</v>
      </c>
      <c r="H38" s="3">
        <f>LEN(SUBSTITUTE(B38," ",""))</f>
        <v>7</v>
      </c>
      <c r="I38" s="3" t="s">
        <v>46</v>
      </c>
      <c r="J38" s="3" t="str">
        <f t="shared" si="2"/>
        <v>MARKETING</v>
      </c>
      <c r="K38" s="3" t="str">
        <f t="shared" si="3"/>
        <v>marketing</v>
      </c>
      <c r="L38" s="3" t="str">
        <f t="shared" si="4"/>
        <v>Marketing</v>
      </c>
      <c r="M38" s="3" t="s">
        <v>42</v>
      </c>
      <c r="N38" s="3" t="s">
        <v>48</v>
      </c>
      <c r="O38" s="4">
        <v>222804</v>
      </c>
      <c r="P38" s="3">
        <v>8</v>
      </c>
      <c r="Q38" s="3" t="s">
        <v>56</v>
      </c>
    </row>
    <row r="39" spans="1:17" ht="16.5" customHeight="1" x14ac:dyDescent="0.35">
      <c r="A39" s="3" t="s">
        <v>107</v>
      </c>
      <c r="B39" s="3" t="s">
        <v>40</v>
      </c>
      <c r="C39" s="3" t="str">
        <f t="shared" si="0"/>
        <v>Sade</v>
      </c>
      <c r="D39" s="3" t="str">
        <f>_xlfn.TEXTAFTER(B39, " ")</f>
        <v>Bassey</v>
      </c>
      <c r="E39" s="3" t="str">
        <f>TRIM(C39)</f>
        <v>Sade</v>
      </c>
      <c r="F39" s="3" t="str">
        <f t="shared" si="1"/>
        <v>Bassey</v>
      </c>
      <c r="G39" s="3" t="str">
        <f>LOWER(C39&amp; "." &amp; D39 &amp; "@dame.com")</f>
        <v>sade.bassey@dame.com</v>
      </c>
      <c r="H39" s="3">
        <f>LEN(SUBSTITUTE(B39," ",""))</f>
        <v>10</v>
      </c>
      <c r="I39" s="3" t="s">
        <v>54</v>
      </c>
      <c r="J39" s="3" t="str">
        <f t="shared" si="2"/>
        <v>FINANCE</v>
      </c>
      <c r="K39" s="3" t="str">
        <f t="shared" si="3"/>
        <v>finance</v>
      </c>
      <c r="L39" s="3" t="str">
        <f t="shared" si="4"/>
        <v>Finance</v>
      </c>
      <c r="M39" s="3" t="s">
        <v>79</v>
      </c>
      <c r="N39" s="3" t="s">
        <v>43</v>
      </c>
      <c r="O39" s="4">
        <v>202674</v>
      </c>
      <c r="P39" s="3">
        <v>4</v>
      </c>
      <c r="Q39" s="3" t="s">
        <v>44</v>
      </c>
    </row>
    <row r="40" spans="1:17" ht="16.5" customHeight="1" x14ac:dyDescent="0.35">
      <c r="A40" s="3" t="s">
        <v>108</v>
      </c>
      <c r="B40" s="3" t="s">
        <v>40</v>
      </c>
      <c r="C40" s="3" t="str">
        <f t="shared" si="0"/>
        <v>Sade</v>
      </c>
      <c r="D40" s="3" t="str">
        <f>_xlfn.TEXTAFTER(B40, " ")</f>
        <v>Bassey</v>
      </c>
      <c r="E40" s="3" t="str">
        <f>TRIM(C40)</f>
        <v>Sade</v>
      </c>
      <c r="F40" s="3" t="str">
        <f t="shared" si="1"/>
        <v>Bassey</v>
      </c>
      <c r="G40" s="3" t="str">
        <f>LOWER(C40&amp; "." &amp; D40 &amp; "@dame.com")</f>
        <v>sade.bassey@dame.com</v>
      </c>
      <c r="H40" s="3">
        <f>LEN(SUBSTITUTE(B40," ",""))</f>
        <v>10</v>
      </c>
      <c r="I40" s="3" t="s">
        <v>41</v>
      </c>
      <c r="J40" s="3" t="str">
        <f t="shared" si="2"/>
        <v>IT</v>
      </c>
      <c r="K40" s="3" t="str">
        <f t="shared" si="3"/>
        <v>it</v>
      </c>
      <c r="L40" s="3" t="str">
        <f t="shared" si="4"/>
        <v>It</v>
      </c>
      <c r="M40" s="3" t="s">
        <v>76</v>
      </c>
      <c r="N40" s="3" t="s">
        <v>43</v>
      </c>
      <c r="O40" s="4">
        <v>481535</v>
      </c>
      <c r="P40" s="3">
        <v>10</v>
      </c>
      <c r="Q40" s="3" t="s">
        <v>56</v>
      </c>
    </row>
    <row r="41" spans="1:17" ht="16.5" customHeight="1" x14ac:dyDescent="0.35">
      <c r="A41" s="3" t="s">
        <v>109</v>
      </c>
      <c r="B41" s="3" t="s">
        <v>64</v>
      </c>
      <c r="C41" s="3" t="str">
        <f t="shared" si="0"/>
        <v>James</v>
      </c>
      <c r="D41" s="3" t="str">
        <f>_xlfn.TEXTAFTER(B41, " ")</f>
        <v>Obi</v>
      </c>
      <c r="E41" s="3" t="str">
        <f>TRIM(C41)</f>
        <v>James</v>
      </c>
      <c r="F41" s="3" t="str">
        <f t="shared" si="1"/>
        <v>Obi</v>
      </c>
      <c r="G41" s="3" t="str">
        <f>LOWER(C41&amp; "." &amp; D41 &amp; "@dame.com")</f>
        <v>james.obi@dame.com</v>
      </c>
      <c r="H41" s="3">
        <f>LEN(SUBSTITUTE(B41," ",""))</f>
        <v>8</v>
      </c>
      <c r="I41" s="3" t="s">
        <v>54</v>
      </c>
      <c r="J41" s="3" t="str">
        <f t="shared" si="2"/>
        <v>FINANCE</v>
      </c>
      <c r="K41" s="3" t="str">
        <f t="shared" si="3"/>
        <v>finance</v>
      </c>
      <c r="L41" s="3" t="str">
        <f t="shared" si="4"/>
        <v>Finance</v>
      </c>
      <c r="M41" s="3" t="s">
        <v>55</v>
      </c>
      <c r="N41" s="3" t="s">
        <v>48</v>
      </c>
      <c r="O41" s="4">
        <v>338509</v>
      </c>
      <c r="P41" s="3">
        <v>1</v>
      </c>
      <c r="Q41" s="3" t="s">
        <v>59</v>
      </c>
    </row>
    <row r="42" spans="1:17" ht="16.5" customHeight="1" x14ac:dyDescent="0.35">
      <c r="A42" s="3" t="s">
        <v>110</v>
      </c>
      <c r="B42" s="3" t="s">
        <v>40</v>
      </c>
      <c r="C42" s="3" t="str">
        <f t="shared" si="0"/>
        <v>Sade</v>
      </c>
      <c r="D42" s="3" t="str">
        <f>_xlfn.TEXTAFTER(B42, " ")</f>
        <v>Bassey</v>
      </c>
      <c r="E42" s="3" t="str">
        <f>TRIM(C42)</f>
        <v>Sade</v>
      </c>
      <c r="F42" s="3" t="str">
        <f t="shared" si="1"/>
        <v>Bassey</v>
      </c>
      <c r="G42" s="3" t="str">
        <f>LOWER(C42&amp; "." &amp; D42 &amp; "@dame.com")</f>
        <v>sade.bassey@dame.com</v>
      </c>
      <c r="H42" s="3">
        <f>LEN(SUBSTITUTE(B42," ",""))</f>
        <v>10</v>
      </c>
      <c r="I42" s="3" t="s">
        <v>52</v>
      </c>
      <c r="J42" s="3" t="str">
        <f t="shared" si="2"/>
        <v>SALES</v>
      </c>
      <c r="K42" s="3" t="str">
        <f t="shared" si="3"/>
        <v>sales</v>
      </c>
      <c r="L42" s="3" t="str">
        <f t="shared" si="4"/>
        <v>Sales</v>
      </c>
      <c r="M42" s="3" t="s">
        <v>55</v>
      </c>
      <c r="N42" s="3" t="s">
        <v>43</v>
      </c>
      <c r="O42" s="4">
        <v>234031</v>
      </c>
      <c r="P42" s="3">
        <v>10</v>
      </c>
      <c r="Q42" s="3" t="s">
        <v>49</v>
      </c>
    </row>
    <row r="43" spans="1:17" ht="16.5" customHeight="1" x14ac:dyDescent="0.35">
      <c r="A43" s="3" t="s">
        <v>111</v>
      </c>
      <c r="B43" s="3" t="s">
        <v>51</v>
      </c>
      <c r="C43" s="3" t="str">
        <f t="shared" si="0"/>
        <v>Faith</v>
      </c>
      <c r="D43" s="3" t="str">
        <f>_xlfn.TEXTAFTER(B43, " ")</f>
        <v>Udo</v>
      </c>
      <c r="E43" s="3" t="str">
        <f>TRIM(C43)</f>
        <v>Faith</v>
      </c>
      <c r="F43" s="3" t="str">
        <f t="shared" si="1"/>
        <v>Udo</v>
      </c>
      <c r="G43" s="3" t="str">
        <f>LOWER(C43&amp; "." &amp; D43 &amp; "@dame.com")</f>
        <v>faith.udo@dame.com</v>
      </c>
      <c r="H43" s="3">
        <f>LEN(SUBSTITUTE(B43," ",""))</f>
        <v>8</v>
      </c>
      <c r="I43" s="3" t="s">
        <v>52</v>
      </c>
      <c r="J43" s="3" t="str">
        <f t="shared" si="2"/>
        <v>SALES</v>
      </c>
      <c r="K43" s="3" t="str">
        <f t="shared" si="3"/>
        <v>sales</v>
      </c>
      <c r="L43" s="3" t="str">
        <f t="shared" si="4"/>
        <v>Sales</v>
      </c>
      <c r="M43" s="3" t="s">
        <v>62</v>
      </c>
      <c r="N43" s="3" t="s">
        <v>48</v>
      </c>
      <c r="O43" s="4">
        <v>265908</v>
      </c>
      <c r="P43" s="3">
        <v>7</v>
      </c>
      <c r="Q43" s="3" t="s">
        <v>49</v>
      </c>
    </row>
    <row r="44" spans="1:17" ht="16.5" customHeight="1" x14ac:dyDescent="0.35">
      <c r="A44" s="3" t="s">
        <v>112</v>
      </c>
      <c r="B44" s="3" t="s">
        <v>75</v>
      </c>
      <c r="C44" s="3" t="str">
        <f t="shared" si="0"/>
        <v>Chika</v>
      </c>
      <c r="D44" s="3" t="str">
        <f>_xlfn.TEXTAFTER(B44, " ")</f>
        <v>Umeh</v>
      </c>
      <c r="E44" s="3" t="str">
        <f>TRIM(C44)</f>
        <v>Chika</v>
      </c>
      <c r="F44" s="3" t="str">
        <f t="shared" si="1"/>
        <v>Umeh</v>
      </c>
      <c r="G44" s="3" t="str">
        <f>LOWER(C44&amp; "." &amp; D44 &amp; "@dame.com")</f>
        <v>chika.umeh@dame.com</v>
      </c>
      <c r="H44" s="3">
        <f>LEN(SUBSTITUTE(B44," ",""))</f>
        <v>9</v>
      </c>
      <c r="I44" s="3" t="s">
        <v>41</v>
      </c>
      <c r="J44" s="3" t="str">
        <f t="shared" si="2"/>
        <v>IT</v>
      </c>
      <c r="K44" s="3" t="str">
        <f t="shared" si="3"/>
        <v>it</v>
      </c>
      <c r="L44" s="3" t="str">
        <f t="shared" si="4"/>
        <v>It</v>
      </c>
      <c r="M44" s="3" t="s">
        <v>42</v>
      </c>
      <c r="N44" s="3" t="s">
        <v>48</v>
      </c>
      <c r="O44" s="4">
        <v>338554</v>
      </c>
      <c r="P44" s="3">
        <v>1</v>
      </c>
      <c r="Q44" s="3" t="s">
        <v>49</v>
      </c>
    </row>
    <row r="45" spans="1:17" ht="16.5" customHeight="1" x14ac:dyDescent="0.35">
      <c r="A45" s="3" t="s">
        <v>113</v>
      </c>
      <c r="B45" s="3" t="s">
        <v>51</v>
      </c>
      <c r="C45" s="3" t="str">
        <f t="shared" si="0"/>
        <v>Faith</v>
      </c>
      <c r="D45" s="3" t="str">
        <f>_xlfn.TEXTAFTER(B45, " ")</f>
        <v>Udo</v>
      </c>
      <c r="E45" s="3" t="str">
        <f>TRIM(C45)</f>
        <v>Faith</v>
      </c>
      <c r="F45" s="3" t="str">
        <f t="shared" si="1"/>
        <v>Udo</v>
      </c>
      <c r="G45" s="3" t="str">
        <f>LOWER(C45&amp; "." &amp; D45 &amp; "@dame.com")</f>
        <v>faith.udo@dame.com</v>
      </c>
      <c r="H45" s="3">
        <f>LEN(SUBSTITUTE(B45," ",""))</f>
        <v>8</v>
      </c>
      <c r="I45" s="3" t="s">
        <v>46</v>
      </c>
      <c r="J45" s="3" t="str">
        <f t="shared" si="2"/>
        <v>MARKETING</v>
      </c>
      <c r="K45" s="3" t="str">
        <f t="shared" si="3"/>
        <v>marketing</v>
      </c>
      <c r="L45" s="3" t="str">
        <f t="shared" si="4"/>
        <v>Marketing</v>
      </c>
      <c r="M45" s="3" t="s">
        <v>79</v>
      </c>
      <c r="N45" s="3" t="s">
        <v>48</v>
      </c>
      <c r="O45" s="4">
        <v>413957</v>
      </c>
      <c r="P45" s="3">
        <v>3</v>
      </c>
      <c r="Q45" s="3" t="s">
        <v>59</v>
      </c>
    </row>
    <row r="46" spans="1:17" ht="16.5" customHeight="1" x14ac:dyDescent="0.35">
      <c r="A46" s="3" t="s">
        <v>114</v>
      </c>
      <c r="B46" s="3" t="s">
        <v>40</v>
      </c>
      <c r="C46" s="3" t="str">
        <f t="shared" si="0"/>
        <v>Sade</v>
      </c>
      <c r="D46" s="3" t="str">
        <f>_xlfn.TEXTAFTER(B46, " ")</f>
        <v>Bassey</v>
      </c>
      <c r="E46" s="3" t="str">
        <f>TRIM(C46)</f>
        <v>Sade</v>
      </c>
      <c r="F46" s="3" t="str">
        <f t="shared" si="1"/>
        <v>Bassey</v>
      </c>
      <c r="G46" s="3" t="str">
        <f>LOWER(C46&amp; "." &amp; D46 &amp; "@dame.com")</f>
        <v>sade.bassey@dame.com</v>
      </c>
      <c r="H46" s="3">
        <f>LEN(SUBSTITUTE(B46," ",""))</f>
        <v>10</v>
      </c>
      <c r="I46" s="3" t="s">
        <v>71</v>
      </c>
      <c r="J46" s="3" t="str">
        <f t="shared" si="2"/>
        <v>HR</v>
      </c>
      <c r="K46" s="3" t="str">
        <f t="shared" si="3"/>
        <v>hr</v>
      </c>
      <c r="L46" s="3" t="str">
        <f t="shared" si="4"/>
        <v>Hr</v>
      </c>
      <c r="M46" s="3" t="s">
        <v>42</v>
      </c>
      <c r="N46" s="3" t="s">
        <v>43</v>
      </c>
      <c r="O46" s="4">
        <v>485264</v>
      </c>
      <c r="P46" s="3">
        <v>1</v>
      </c>
      <c r="Q46" s="3" t="s">
        <v>56</v>
      </c>
    </row>
    <row r="47" spans="1:17" ht="16.5" customHeight="1" x14ac:dyDescent="0.35">
      <c r="A47" s="3" t="s">
        <v>115</v>
      </c>
      <c r="B47" s="3" t="s">
        <v>75</v>
      </c>
      <c r="C47" s="3" t="str">
        <f t="shared" si="0"/>
        <v>Chika</v>
      </c>
      <c r="D47" s="3" t="str">
        <f>_xlfn.TEXTAFTER(B47, " ")</f>
        <v>Umeh</v>
      </c>
      <c r="E47" s="3" t="str">
        <f>TRIM(C47)</f>
        <v>Chika</v>
      </c>
      <c r="F47" s="3" t="str">
        <f t="shared" si="1"/>
        <v>Umeh</v>
      </c>
      <c r="G47" s="3" t="str">
        <f>LOWER(C47&amp; "." &amp; D47 &amp; "@dame.com")</f>
        <v>chika.umeh@dame.com</v>
      </c>
      <c r="H47" s="3">
        <f>LEN(SUBSTITUTE(B47," ",""))</f>
        <v>9</v>
      </c>
      <c r="I47" s="3" t="s">
        <v>52</v>
      </c>
      <c r="J47" s="3" t="str">
        <f t="shared" si="2"/>
        <v>SALES</v>
      </c>
      <c r="K47" s="3" t="str">
        <f t="shared" si="3"/>
        <v>sales</v>
      </c>
      <c r="L47" s="3" t="str">
        <f t="shared" si="4"/>
        <v>Sales</v>
      </c>
      <c r="M47" s="3" t="s">
        <v>79</v>
      </c>
      <c r="N47" s="3" t="s">
        <v>43</v>
      </c>
      <c r="O47" s="4">
        <v>363350</v>
      </c>
      <c r="P47" s="3">
        <v>1</v>
      </c>
      <c r="Q47" s="3" t="s">
        <v>49</v>
      </c>
    </row>
    <row r="48" spans="1:17" ht="16.5" customHeight="1" x14ac:dyDescent="0.35">
      <c r="A48" s="3" t="s">
        <v>116</v>
      </c>
      <c r="B48" s="3" t="s">
        <v>61</v>
      </c>
      <c r="C48" s="3" t="str">
        <f t="shared" si="0"/>
        <v>Tunde</v>
      </c>
      <c r="D48" s="3" t="str">
        <f>_xlfn.TEXTAFTER(B48, " ")</f>
        <v>Salisu</v>
      </c>
      <c r="E48" s="3" t="str">
        <f>TRIM(C48)</f>
        <v>Tunde</v>
      </c>
      <c r="F48" s="3" t="str">
        <f t="shared" si="1"/>
        <v>Salisu</v>
      </c>
      <c r="G48" s="3" t="str">
        <f>LOWER(C48&amp; "." &amp; D48 &amp; "@dame.com")</f>
        <v>tunde.salisu@dame.com</v>
      </c>
      <c r="H48" s="3">
        <f>LEN(SUBSTITUTE(B48," ",""))</f>
        <v>11</v>
      </c>
      <c r="I48" s="3" t="s">
        <v>71</v>
      </c>
      <c r="J48" s="3" t="str">
        <f t="shared" si="2"/>
        <v>HR</v>
      </c>
      <c r="K48" s="3" t="str">
        <f t="shared" si="3"/>
        <v>hr</v>
      </c>
      <c r="L48" s="3" t="str">
        <f t="shared" si="4"/>
        <v>Hr</v>
      </c>
      <c r="M48" s="3" t="s">
        <v>47</v>
      </c>
      <c r="N48" s="3" t="s">
        <v>43</v>
      </c>
      <c r="O48" s="4">
        <v>428005</v>
      </c>
      <c r="P48" s="3">
        <v>4</v>
      </c>
      <c r="Q48" s="3" t="s">
        <v>56</v>
      </c>
    </row>
    <row r="49" spans="1:17" ht="16.5" customHeight="1" x14ac:dyDescent="0.35">
      <c r="A49" s="3" t="s">
        <v>117</v>
      </c>
      <c r="B49" s="3" t="s">
        <v>118</v>
      </c>
      <c r="C49" s="3" t="str">
        <f t="shared" si="0"/>
        <v>Emeka</v>
      </c>
      <c r="D49" s="3" t="str">
        <f>_xlfn.TEXTAFTER(B49, " ")</f>
        <v>John</v>
      </c>
      <c r="E49" s="3" t="str">
        <f>TRIM(C49)</f>
        <v>Emeka</v>
      </c>
      <c r="F49" s="3" t="str">
        <f t="shared" si="1"/>
        <v>John</v>
      </c>
      <c r="G49" s="3" t="str">
        <f>LOWER(C49&amp; "." &amp; D49 &amp; "@dame.com")</f>
        <v>emeka.john@dame.com</v>
      </c>
      <c r="H49" s="3">
        <f>LEN(SUBSTITUTE(B49," ",""))</f>
        <v>9</v>
      </c>
      <c r="I49" s="3" t="s">
        <v>71</v>
      </c>
      <c r="J49" s="3" t="str">
        <f t="shared" si="2"/>
        <v>HR</v>
      </c>
      <c r="K49" s="3" t="str">
        <f t="shared" si="3"/>
        <v>hr</v>
      </c>
      <c r="L49" s="3" t="str">
        <f t="shared" si="4"/>
        <v>Hr</v>
      </c>
      <c r="M49" s="3" t="s">
        <v>62</v>
      </c>
      <c r="N49" s="3" t="s">
        <v>48</v>
      </c>
      <c r="O49" s="4">
        <v>326652</v>
      </c>
      <c r="P49" s="3">
        <v>6</v>
      </c>
      <c r="Q49" s="3" t="s">
        <v>56</v>
      </c>
    </row>
    <row r="50" spans="1:17" ht="16.5" customHeight="1" x14ac:dyDescent="0.35">
      <c r="A50" s="3" t="s">
        <v>119</v>
      </c>
      <c r="B50" s="3" t="s">
        <v>40</v>
      </c>
      <c r="C50" s="3" t="str">
        <f t="shared" si="0"/>
        <v>Sade</v>
      </c>
      <c r="D50" s="3" t="str">
        <f>_xlfn.TEXTAFTER(B50, " ")</f>
        <v>Bassey</v>
      </c>
      <c r="E50" s="3" t="str">
        <f>TRIM(C50)</f>
        <v>Sade</v>
      </c>
      <c r="F50" s="3" t="str">
        <f t="shared" si="1"/>
        <v>Bassey</v>
      </c>
      <c r="G50" s="3" t="str">
        <f>LOWER(C50&amp; "." &amp; D50 &amp; "@dame.com")</f>
        <v>sade.bassey@dame.com</v>
      </c>
      <c r="H50" s="3">
        <f>LEN(SUBSTITUTE(B50," ",""))</f>
        <v>10</v>
      </c>
      <c r="I50" s="3" t="s">
        <v>71</v>
      </c>
      <c r="J50" s="3" t="str">
        <f t="shared" si="2"/>
        <v>HR</v>
      </c>
      <c r="K50" s="3" t="str">
        <f t="shared" si="3"/>
        <v>hr</v>
      </c>
      <c r="L50" s="3" t="str">
        <f t="shared" si="4"/>
        <v>Hr</v>
      </c>
      <c r="M50" s="3" t="s">
        <v>79</v>
      </c>
      <c r="N50" s="3" t="s">
        <v>48</v>
      </c>
      <c r="O50" s="4">
        <v>421377</v>
      </c>
      <c r="P50" s="3">
        <v>4</v>
      </c>
      <c r="Q50" s="3" t="s">
        <v>44</v>
      </c>
    </row>
    <row r="51" spans="1:17" ht="16.5" customHeight="1" x14ac:dyDescent="0.35">
      <c r="A51" s="3" t="s">
        <v>120</v>
      </c>
      <c r="B51" s="3" t="s">
        <v>118</v>
      </c>
      <c r="C51" s="3" t="str">
        <f t="shared" si="0"/>
        <v>Emeka</v>
      </c>
      <c r="D51" s="3" t="str">
        <f>_xlfn.TEXTAFTER(B51, " ")</f>
        <v>John</v>
      </c>
      <c r="E51" s="3" t="str">
        <f>TRIM(C51)</f>
        <v>Emeka</v>
      </c>
      <c r="F51" s="3" t="str">
        <f t="shared" si="1"/>
        <v>John</v>
      </c>
      <c r="G51" s="3" t="str">
        <f>LOWER(C51&amp; "." &amp; D51 &amp; "@dame.com")</f>
        <v>emeka.john@dame.com</v>
      </c>
      <c r="H51" s="3">
        <f>LEN(SUBSTITUTE(B51," ",""))</f>
        <v>9</v>
      </c>
      <c r="I51" s="3" t="s">
        <v>54</v>
      </c>
      <c r="J51" s="3" t="str">
        <f t="shared" si="2"/>
        <v>FINANCE</v>
      </c>
      <c r="K51" s="3" t="str">
        <f t="shared" si="3"/>
        <v>finance</v>
      </c>
      <c r="L51" s="3" t="str">
        <f t="shared" si="4"/>
        <v>Finance</v>
      </c>
      <c r="M51" s="3" t="s">
        <v>47</v>
      </c>
      <c r="N51" s="3" t="s">
        <v>43</v>
      </c>
      <c r="O51" s="4">
        <v>433017</v>
      </c>
      <c r="P51" s="3">
        <v>3</v>
      </c>
      <c r="Q51" s="3" t="s">
        <v>49</v>
      </c>
    </row>
    <row r="52" spans="1:17" ht="16.5" customHeight="1" x14ac:dyDescent="0.35">
      <c r="A52" s="3" t="s">
        <v>121</v>
      </c>
      <c r="B52" s="3" t="s">
        <v>64</v>
      </c>
      <c r="C52" s="3" t="str">
        <f t="shared" si="0"/>
        <v>James</v>
      </c>
      <c r="D52" s="3" t="str">
        <f>_xlfn.TEXTAFTER(B52, " ")</f>
        <v>Obi</v>
      </c>
      <c r="E52" s="3" t="str">
        <f>TRIM(C52)</f>
        <v>James</v>
      </c>
      <c r="F52" s="3" t="str">
        <f t="shared" si="1"/>
        <v>Obi</v>
      </c>
      <c r="G52" s="3" t="str">
        <f>LOWER(C52&amp; "." &amp; D52 &amp; "@dame.com")</f>
        <v>james.obi@dame.com</v>
      </c>
      <c r="H52" s="3">
        <f>LEN(SUBSTITUTE(B52," ",""))</f>
        <v>8</v>
      </c>
      <c r="I52" s="3" t="s">
        <v>71</v>
      </c>
      <c r="J52" s="3" t="str">
        <f t="shared" si="2"/>
        <v>HR</v>
      </c>
      <c r="K52" s="3" t="str">
        <f t="shared" si="3"/>
        <v>hr</v>
      </c>
      <c r="L52" s="3" t="str">
        <f t="shared" si="4"/>
        <v>Hr</v>
      </c>
      <c r="M52" s="3" t="s">
        <v>76</v>
      </c>
      <c r="N52" s="3" t="s">
        <v>43</v>
      </c>
      <c r="O52" s="4">
        <v>353050</v>
      </c>
      <c r="P52" s="3">
        <v>7</v>
      </c>
      <c r="Q52" s="3" t="s">
        <v>56</v>
      </c>
    </row>
    <row r="53" spans="1:17" ht="16.5" customHeight="1" x14ac:dyDescent="0.35">
      <c r="A53" s="3" t="s">
        <v>122</v>
      </c>
      <c r="B53" s="3" t="s">
        <v>94</v>
      </c>
      <c r="C53" s="3" t="str">
        <f t="shared" si="0"/>
        <v>Ngozi</v>
      </c>
      <c r="D53" s="3" t="str">
        <f>_xlfn.TEXTAFTER(B53, " ")</f>
        <v>Bello</v>
      </c>
      <c r="E53" s="3" t="str">
        <f>TRIM(C53)</f>
        <v>Ngozi</v>
      </c>
      <c r="F53" s="3" t="str">
        <f t="shared" si="1"/>
        <v>Bello</v>
      </c>
      <c r="G53" s="3" t="str">
        <f>LOWER(C53&amp; "." &amp; D53 &amp; "@dame.com")</f>
        <v>ngozi.bello@dame.com</v>
      </c>
      <c r="H53" s="3">
        <f>LEN(SUBSTITUTE(B53," ",""))</f>
        <v>10</v>
      </c>
      <c r="I53" s="3" t="s">
        <v>41</v>
      </c>
      <c r="J53" s="3" t="str">
        <f t="shared" si="2"/>
        <v>IT</v>
      </c>
      <c r="K53" s="3" t="str">
        <f t="shared" si="3"/>
        <v>it</v>
      </c>
      <c r="L53" s="3" t="str">
        <f t="shared" si="4"/>
        <v>It</v>
      </c>
      <c r="M53" s="3" t="s">
        <v>47</v>
      </c>
      <c r="N53" s="3" t="s">
        <v>43</v>
      </c>
      <c r="O53" s="4">
        <v>450941</v>
      </c>
      <c r="P53" s="3">
        <v>3</v>
      </c>
      <c r="Q53" s="3" t="s">
        <v>56</v>
      </c>
    </row>
    <row r="54" spans="1:17" ht="16.5" customHeight="1" x14ac:dyDescent="0.35">
      <c r="A54" s="3" t="s">
        <v>123</v>
      </c>
      <c r="B54" s="3" t="s">
        <v>51</v>
      </c>
      <c r="C54" s="3" t="str">
        <f t="shared" si="0"/>
        <v>Faith</v>
      </c>
      <c r="D54" s="3" t="str">
        <f>_xlfn.TEXTAFTER(B54, " ")</f>
        <v>Udo</v>
      </c>
      <c r="E54" s="3" t="str">
        <f>TRIM(C54)</f>
        <v>Faith</v>
      </c>
      <c r="F54" s="3" t="str">
        <f t="shared" si="1"/>
        <v>Udo</v>
      </c>
      <c r="G54" s="3" t="str">
        <f>LOWER(C54&amp; "." &amp; D54 &amp; "@dame.com")</f>
        <v>faith.udo@dame.com</v>
      </c>
      <c r="H54" s="3">
        <f>LEN(SUBSTITUTE(B54," ",""))</f>
        <v>8</v>
      </c>
      <c r="I54" s="3" t="s">
        <v>54</v>
      </c>
      <c r="J54" s="3" t="str">
        <f t="shared" si="2"/>
        <v>FINANCE</v>
      </c>
      <c r="K54" s="3" t="str">
        <f t="shared" si="3"/>
        <v>finance</v>
      </c>
      <c r="L54" s="3" t="str">
        <f t="shared" si="4"/>
        <v>Finance</v>
      </c>
      <c r="M54" s="3" t="s">
        <v>76</v>
      </c>
      <c r="N54" s="3" t="s">
        <v>43</v>
      </c>
      <c r="O54" s="4">
        <v>337560</v>
      </c>
      <c r="P54" s="3">
        <v>2</v>
      </c>
      <c r="Q54" s="3" t="s">
        <v>49</v>
      </c>
    </row>
    <row r="55" spans="1:17" ht="16.5" customHeight="1" x14ac:dyDescent="0.35">
      <c r="A55" s="3" t="s">
        <v>124</v>
      </c>
      <c r="B55" s="3" t="s">
        <v>40</v>
      </c>
      <c r="C55" s="3" t="str">
        <f t="shared" si="0"/>
        <v>Sade</v>
      </c>
      <c r="D55" s="3" t="str">
        <f>_xlfn.TEXTAFTER(B55, " ")</f>
        <v>Bassey</v>
      </c>
      <c r="E55" s="3" t="str">
        <f>TRIM(C55)</f>
        <v>Sade</v>
      </c>
      <c r="F55" s="3" t="str">
        <f t="shared" si="1"/>
        <v>Bassey</v>
      </c>
      <c r="G55" s="3" t="str">
        <f>LOWER(C55&amp; "." &amp; D55 &amp; "@dame.com")</f>
        <v>sade.bassey@dame.com</v>
      </c>
      <c r="H55" s="3">
        <f>LEN(SUBSTITUTE(B55," ",""))</f>
        <v>10</v>
      </c>
      <c r="I55" s="3" t="s">
        <v>52</v>
      </c>
      <c r="J55" s="3" t="str">
        <f t="shared" si="2"/>
        <v>SALES</v>
      </c>
      <c r="K55" s="3" t="str">
        <f t="shared" si="3"/>
        <v>sales</v>
      </c>
      <c r="L55" s="3" t="str">
        <f t="shared" si="4"/>
        <v>Sales</v>
      </c>
      <c r="M55" s="3" t="s">
        <v>90</v>
      </c>
      <c r="N55" s="3" t="s">
        <v>48</v>
      </c>
      <c r="O55" s="4">
        <v>325849</v>
      </c>
      <c r="P55" s="3">
        <v>2</v>
      </c>
      <c r="Q55" s="3" t="s">
        <v>59</v>
      </c>
    </row>
    <row r="56" spans="1:17" ht="16.5" customHeight="1" x14ac:dyDescent="0.35">
      <c r="A56" s="3" t="s">
        <v>125</v>
      </c>
      <c r="B56" s="3" t="s">
        <v>118</v>
      </c>
      <c r="C56" s="3" t="str">
        <f t="shared" si="0"/>
        <v>Emeka</v>
      </c>
      <c r="D56" s="3" t="str">
        <f>_xlfn.TEXTAFTER(B56, " ")</f>
        <v>John</v>
      </c>
      <c r="E56" s="3" t="str">
        <f>TRIM(C56)</f>
        <v>Emeka</v>
      </c>
      <c r="F56" s="3" t="str">
        <f t="shared" si="1"/>
        <v>John</v>
      </c>
      <c r="G56" s="3" t="str">
        <f>LOWER(C56&amp; "." &amp; D56 &amp; "@dame.com")</f>
        <v>emeka.john@dame.com</v>
      </c>
      <c r="H56" s="3">
        <f>LEN(SUBSTITUTE(B56," ",""))</f>
        <v>9</v>
      </c>
      <c r="I56" s="3" t="s">
        <v>46</v>
      </c>
      <c r="J56" s="3" t="str">
        <f t="shared" si="2"/>
        <v>MARKETING</v>
      </c>
      <c r="K56" s="3" t="str">
        <f t="shared" si="3"/>
        <v>marketing</v>
      </c>
      <c r="L56" s="3" t="str">
        <f t="shared" si="4"/>
        <v>Marketing</v>
      </c>
      <c r="M56" s="3" t="s">
        <v>90</v>
      </c>
      <c r="N56" s="3" t="s">
        <v>48</v>
      </c>
      <c r="O56" s="4">
        <v>252488</v>
      </c>
      <c r="P56" s="3">
        <v>5</v>
      </c>
      <c r="Q56" s="3" t="s">
        <v>56</v>
      </c>
    </row>
    <row r="57" spans="1:17" ht="16.5" customHeight="1" x14ac:dyDescent="0.35">
      <c r="A57" s="3" t="s">
        <v>126</v>
      </c>
      <c r="B57" s="3" t="s">
        <v>118</v>
      </c>
      <c r="C57" s="3" t="str">
        <f t="shared" si="0"/>
        <v>Emeka</v>
      </c>
      <c r="D57" s="3" t="str">
        <f>_xlfn.TEXTAFTER(B57, " ")</f>
        <v>John</v>
      </c>
      <c r="E57" s="3" t="str">
        <f>TRIM(C57)</f>
        <v>Emeka</v>
      </c>
      <c r="F57" s="3" t="str">
        <f t="shared" si="1"/>
        <v>John</v>
      </c>
      <c r="G57" s="3" t="str">
        <f>LOWER(C57&amp; "." &amp; D57 &amp; "@dame.com")</f>
        <v>emeka.john@dame.com</v>
      </c>
      <c r="H57" s="3">
        <f>LEN(SUBSTITUTE(B57," ",""))</f>
        <v>9</v>
      </c>
      <c r="I57" s="3" t="s">
        <v>54</v>
      </c>
      <c r="J57" s="3" t="str">
        <f t="shared" si="2"/>
        <v>FINANCE</v>
      </c>
      <c r="K57" s="3" t="str">
        <f t="shared" si="3"/>
        <v>finance</v>
      </c>
      <c r="L57" s="3" t="str">
        <f t="shared" si="4"/>
        <v>Finance</v>
      </c>
      <c r="M57" s="3" t="s">
        <v>73</v>
      </c>
      <c r="N57" s="3" t="s">
        <v>48</v>
      </c>
      <c r="O57" s="4">
        <v>261616</v>
      </c>
      <c r="P57" s="3">
        <v>2</v>
      </c>
      <c r="Q57" s="3" t="s">
        <v>49</v>
      </c>
    </row>
    <row r="58" spans="1:17" ht="16.5" customHeight="1" x14ac:dyDescent="0.35">
      <c r="A58" s="3" t="s">
        <v>127</v>
      </c>
      <c r="B58" s="3" t="s">
        <v>64</v>
      </c>
      <c r="C58" s="3" t="str">
        <f t="shared" si="0"/>
        <v>James</v>
      </c>
      <c r="D58" s="3" t="str">
        <f>_xlfn.TEXTAFTER(B58, " ")</f>
        <v>Obi</v>
      </c>
      <c r="E58" s="3" t="str">
        <f>TRIM(C58)</f>
        <v>James</v>
      </c>
      <c r="F58" s="3" t="str">
        <f t="shared" si="1"/>
        <v>Obi</v>
      </c>
      <c r="G58" s="3" t="str">
        <f>LOWER(C58&amp; "." &amp; D58 &amp; "@dame.com")</f>
        <v>james.obi@dame.com</v>
      </c>
      <c r="H58" s="3">
        <f>LEN(SUBSTITUTE(B58," ",""))</f>
        <v>8</v>
      </c>
      <c r="I58" s="3" t="s">
        <v>46</v>
      </c>
      <c r="J58" s="3" t="str">
        <f t="shared" si="2"/>
        <v>MARKETING</v>
      </c>
      <c r="K58" s="3" t="str">
        <f t="shared" si="3"/>
        <v>marketing</v>
      </c>
      <c r="L58" s="3" t="str">
        <f t="shared" si="4"/>
        <v>Marketing</v>
      </c>
      <c r="M58" s="3" t="s">
        <v>73</v>
      </c>
      <c r="N58" s="3" t="s">
        <v>43</v>
      </c>
      <c r="O58" s="4">
        <v>296968</v>
      </c>
      <c r="P58" s="3">
        <v>4</v>
      </c>
      <c r="Q58" s="3" t="s">
        <v>49</v>
      </c>
    </row>
    <row r="59" spans="1:17" ht="16.5" customHeight="1" x14ac:dyDescent="0.35">
      <c r="A59" s="3" t="s">
        <v>128</v>
      </c>
      <c r="B59" s="3" t="s">
        <v>118</v>
      </c>
      <c r="C59" s="3" t="str">
        <f t="shared" si="0"/>
        <v>Emeka</v>
      </c>
      <c r="D59" s="3" t="str">
        <f>_xlfn.TEXTAFTER(B59, " ")</f>
        <v>John</v>
      </c>
      <c r="E59" s="3" t="str">
        <f>TRIM(C59)</f>
        <v>Emeka</v>
      </c>
      <c r="F59" s="3" t="str">
        <f t="shared" si="1"/>
        <v>John</v>
      </c>
      <c r="G59" s="3" t="str">
        <f>LOWER(C59&amp; "." &amp; D59 &amp; "@dame.com")</f>
        <v>emeka.john@dame.com</v>
      </c>
      <c r="H59" s="3">
        <f>LEN(SUBSTITUTE(B59," ",""))</f>
        <v>9</v>
      </c>
      <c r="I59" s="3" t="s">
        <v>41</v>
      </c>
      <c r="J59" s="3" t="str">
        <f t="shared" si="2"/>
        <v>IT</v>
      </c>
      <c r="K59" s="3" t="str">
        <f t="shared" si="3"/>
        <v>it</v>
      </c>
      <c r="L59" s="3" t="str">
        <f t="shared" si="4"/>
        <v>It</v>
      </c>
      <c r="M59" s="3" t="s">
        <v>73</v>
      </c>
      <c r="N59" s="3" t="s">
        <v>48</v>
      </c>
      <c r="O59" s="4">
        <v>369656</v>
      </c>
      <c r="P59" s="3">
        <v>8</v>
      </c>
      <c r="Q59" s="3" t="s">
        <v>56</v>
      </c>
    </row>
    <row r="60" spans="1:17" ht="16.5" customHeight="1" x14ac:dyDescent="0.35">
      <c r="A60" s="3" t="s">
        <v>129</v>
      </c>
      <c r="B60" s="3" t="s">
        <v>94</v>
      </c>
      <c r="C60" s="3" t="str">
        <f t="shared" si="0"/>
        <v>Ngozi</v>
      </c>
      <c r="D60" s="3" t="str">
        <f>_xlfn.TEXTAFTER(B60, " ")</f>
        <v>Bello</v>
      </c>
      <c r="E60" s="3" t="str">
        <f>TRIM(C60)</f>
        <v>Ngozi</v>
      </c>
      <c r="F60" s="3" t="str">
        <f t="shared" si="1"/>
        <v>Bello</v>
      </c>
      <c r="G60" s="3" t="str">
        <f>LOWER(C60&amp; "." &amp; D60 &amp; "@dame.com")</f>
        <v>ngozi.bello@dame.com</v>
      </c>
      <c r="H60" s="3">
        <f>LEN(SUBSTITUTE(B60," ",""))</f>
        <v>10</v>
      </c>
      <c r="I60" s="3" t="s">
        <v>46</v>
      </c>
      <c r="J60" s="3" t="str">
        <f t="shared" si="2"/>
        <v>MARKETING</v>
      </c>
      <c r="K60" s="3" t="str">
        <f t="shared" si="3"/>
        <v>marketing</v>
      </c>
      <c r="L60" s="3" t="str">
        <f t="shared" si="4"/>
        <v>Marketing</v>
      </c>
      <c r="M60" s="3" t="s">
        <v>62</v>
      </c>
      <c r="N60" s="3" t="s">
        <v>43</v>
      </c>
      <c r="O60" s="4">
        <v>385249</v>
      </c>
      <c r="P60" s="3">
        <v>3</v>
      </c>
      <c r="Q60" s="3" t="s">
        <v>49</v>
      </c>
    </row>
    <row r="61" spans="1:17" ht="16.5" customHeight="1" x14ac:dyDescent="0.35">
      <c r="A61" s="3" t="s">
        <v>130</v>
      </c>
      <c r="B61" s="3" t="s">
        <v>51</v>
      </c>
      <c r="C61" s="3" t="str">
        <f t="shared" si="0"/>
        <v>Faith</v>
      </c>
      <c r="D61" s="3" t="str">
        <f>_xlfn.TEXTAFTER(B61, " ")</f>
        <v>Udo</v>
      </c>
      <c r="E61" s="3" t="str">
        <f>TRIM(C61)</f>
        <v>Faith</v>
      </c>
      <c r="F61" s="3" t="str">
        <f t="shared" si="1"/>
        <v>Udo</v>
      </c>
      <c r="G61" s="3" t="str">
        <f>LOWER(C61&amp; "." &amp; D61 &amp; "@dame.com")</f>
        <v>faith.udo@dame.com</v>
      </c>
      <c r="H61" s="3">
        <f>LEN(SUBSTITUTE(B61," ",""))</f>
        <v>8</v>
      </c>
      <c r="I61" s="3" t="s">
        <v>41</v>
      </c>
      <c r="J61" s="3" t="str">
        <f t="shared" si="2"/>
        <v>IT</v>
      </c>
      <c r="K61" s="3" t="str">
        <f t="shared" si="3"/>
        <v>it</v>
      </c>
      <c r="L61" s="3" t="str">
        <f t="shared" si="4"/>
        <v>It</v>
      </c>
      <c r="M61" s="3" t="s">
        <v>90</v>
      </c>
      <c r="N61" s="3" t="s">
        <v>43</v>
      </c>
      <c r="O61" s="4">
        <v>485946</v>
      </c>
      <c r="P61" s="3">
        <v>4</v>
      </c>
      <c r="Q61" s="3" t="s">
        <v>59</v>
      </c>
    </row>
    <row r="62" spans="1:17" ht="16.5" customHeight="1" x14ac:dyDescent="0.35">
      <c r="A62" s="3" t="s">
        <v>131</v>
      </c>
      <c r="B62" s="3" t="s">
        <v>94</v>
      </c>
      <c r="C62" s="3" t="str">
        <f t="shared" si="0"/>
        <v>Ngozi</v>
      </c>
      <c r="D62" s="3" t="str">
        <f>_xlfn.TEXTAFTER(B62, " ")</f>
        <v>Bello</v>
      </c>
      <c r="E62" s="3" t="str">
        <f>TRIM(C62)</f>
        <v>Ngozi</v>
      </c>
      <c r="F62" s="3" t="str">
        <f t="shared" si="1"/>
        <v>Bello</v>
      </c>
      <c r="G62" s="3" t="str">
        <f>LOWER(C62&amp; "." &amp; D62 &amp; "@dame.com")</f>
        <v>ngozi.bello@dame.com</v>
      </c>
      <c r="H62" s="3">
        <f>LEN(SUBSTITUTE(B62," ",""))</f>
        <v>10</v>
      </c>
      <c r="I62" s="3" t="s">
        <v>54</v>
      </c>
      <c r="J62" s="3" t="str">
        <f t="shared" si="2"/>
        <v>FINANCE</v>
      </c>
      <c r="K62" s="3" t="str">
        <f t="shared" si="3"/>
        <v>finance</v>
      </c>
      <c r="L62" s="3" t="str">
        <f t="shared" si="4"/>
        <v>Finance</v>
      </c>
      <c r="M62" s="3" t="s">
        <v>47</v>
      </c>
      <c r="N62" s="3" t="s">
        <v>48</v>
      </c>
      <c r="O62" s="4">
        <v>481575</v>
      </c>
      <c r="P62" s="3">
        <v>3</v>
      </c>
      <c r="Q62" s="3" t="s">
        <v>49</v>
      </c>
    </row>
    <row r="63" spans="1:17" ht="16.5" customHeight="1" x14ac:dyDescent="0.35">
      <c r="A63" s="3" t="s">
        <v>132</v>
      </c>
      <c r="B63" s="3" t="s">
        <v>75</v>
      </c>
      <c r="C63" s="3" t="str">
        <f t="shared" si="0"/>
        <v>Chika</v>
      </c>
      <c r="D63" s="3" t="str">
        <f>_xlfn.TEXTAFTER(B63, " ")</f>
        <v>Umeh</v>
      </c>
      <c r="E63" s="3" t="str">
        <f>TRIM(C63)</f>
        <v>Chika</v>
      </c>
      <c r="F63" s="3" t="str">
        <f t="shared" si="1"/>
        <v>Umeh</v>
      </c>
      <c r="G63" s="3" t="str">
        <f>LOWER(C63&amp; "." &amp; D63 &amp; "@dame.com")</f>
        <v>chika.umeh@dame.com</v>
      </c>
      <c r="H63" s="3">
        <f>LEN(SUBSTITUTE(B63," ",""))</f>
        <v>9</v>
      </c>
      <c r="I63" s="3" t="s">
        <v>41</v>
      </c>
      <c r="J63" s="3" t="str">
        <f t="shared" si="2"/>
        <v>IT</v>
      </c>
      <c r="K63" s="3" t="str">
        <f t="shared" si="3"/>
        <v>it</v>
      </c>
      <c r="L63" s="3" t="str">
        <f t="shared" si="4"/>
        <v>It</v>
      </c>
      <c r="M63" s="3" t="s">
        <v>47</v>
      </c>
      <c r="N63" s="3" t="s">
        <v>48</v>
      </c>
      <c r="O63" s="4">
        <v>345273</v>
      </c>
      <c r="P63" s="3">
        <v>6</v>
      </c>
      <c r="Q63" s="3" t="s">
        <v>49</v>
      </c>
    </row>
    <row r="64" spans="1:17" ht="16.5" customHeight="1" x14ac:dyDescent="0.35">
      <c r="A64" s="3" t="s">
        <v>133</v>
      </c>
      <c r="B64" s="3" t="s">
        <v>85</v>
      </c>
      <c r="C64" s="3" t="str">
        <f t="shared" si="0"/>
        <v>Maria</v>
      </c>
      <c r="D64" s="3" t="str">
        <f>_xlfn.TEXTAFTER(B64, " ")</f>
        <v>Okafor</v>
      </c>
      <c r="E64" s="3" t="str">
        <f>TRIM(C64)</f>
        <v>Maria</v>
      </c>
      <c r="F64" s="3" t="str">
        <f t="shared" si="1"/>
        <v>Okafor</v>
      </c>
      <c r="G64" s="3" t="str">
        <f>LOWER(C64&amp; "." &amp; D64 &amp; "@dame.com")</f>
        <v>maria.okafor@dame.com</v>
      </c>
      <c r="H64" s="3">
        <f>LEN(SUBSTITUTE(B64," ",""))</f>
        <v>11</v>
      </c>
      <c r="I64" s="3" t="s">
        <v>41</v>
      </c>
      <c r="J64" s="3" t="str">
        <f t="shared" si="2"/>
        <v>IT</v>
      </c>
      <c r="K64" s="3" t="str">
        <f t="shared" si="3"/>
        <v>it</v>
      </c>
      <c r="L64" s="3" t="str">
        <f t="shared" si="4"/>
        <v>It</v>
      </c>
      <c r="M64" s="3" t="s">
        <v>68</v>
      </c>
      <c r="N64" s="3" t="s">
        <v>48</v>
      </c>
      <c r="O64" s="4">
        <v>201172</v>
      </c>
      <c r="P64" s="3">
        <v>8</v>
      </c>
      <c r="Q64" s="3" t="s">
        <v>59</v>
      </c>
    </row>
    <row r="65" spans="1:17" ht="16.5" customHeight="1" x14ac:dyDescent="0.35">
      <c r="A65" s="3" t="s">
        <v>134</v>
      </c>
      <c r="B65" s="3" t="s">
        <v>61</v>
      </c>
      <c r="C65" s="3" t="str">
        <f t="shared" si="0"/>
        <v>Tunde</v>
      </c>
      <c r="D65" s="3" t="str">
        <f>_xlfn.TEXTAFTER(B65, " ")</f>
        <v>Salisu</v>
      </c>
      <c r="E65" s="3" t="str">
        <f>TRIM(C65)</f>
        <v>Tunde</v>
      </c>
      <c r="F65" s="3" t="str">
        <f t="shared" si="1"/>
        <v>Salisu</v>
      </c>
      <c r="G65" s="3" t="str">
        <f>LOWER(C65&amp; "." &amp; D65 &amp; "@dame.com")</f>
        <v>tunde.salisu@dame.com</v>
      </c>
      <c r="H65" s="3">
        <f>LEN(SUBSTITUTE(B65," ",""))</f>
        <v>11</v>
      </c>
      <c r="I65" s="3" t="s">
        <v>46</v>
      </c>
      <c r="J65" s="3" t="str">
        <f t="shared" si="2"/>
        <v>MARKETING</v>
      </c>
      <c r="K65" s="3" t="str">
        <f t="shared" si="3"/>
        <v>marketing</v>
      </c>
      <c r="L65" s="3" t="str">
        <f t="shared" si="4"/>
        <v>Marketing</v>
      </c>
      <c r="M65" s="3" t="s">
        <v>55</v>
      </c>
      <c r="N65" s="3" t="s">
        <v>48</v>
      </c>
      <c r="O65" s="4">
        <v>321800</v>
      </c>
      <c r="P65" s="3">
        <v>7</v>
      </c>
      <c r="Q65" s="3" t="s">
        <v>44</v>
      </c>
    </row>
    <row r="66" spans="1:17" ht="16.5" customHeight="1" x14ac:dyDescent="0.35">
      <c r="A66" s="3" t="s">
        <v>135</v>
      </c>
      <c r="B66" s="3" t="s">
        <v>58</v>
      </c>
      <c r="C66" s="3" t="str">
        <f t="shared" si="0"/>
        <v>Ibrahim</v>
      </c>
      <c r="D66" s="3" t="str">
        <f>_xlfn.TEXTAFTER(B66, " ")</f>
        <v>Musa</v>
      </c>
      <c r="E66" s="3" t="str">
        <f>TRIM(C66)</f>
        <v>Ibrahim</v>
      </c>
      <c r="F66" s="3" t="str">
        <f t="shared" si="1"/>
        <v>Musa</v>
      </c>
      <c r="G66" s="3" t="str">
        <f>LOWER(C66&amp; "." &amp; D66 &amp; "@dame.com")</f>
        <v>ibrahim.musa@dame.com</v>
      </c>
      <c r="H66" s="3">
        <f>LEN(SUBSTITUTE(B66," ",""))</f>
        <v>11</v>
      </c>
      <c r="I66" s="3" t="s">
        <v>52</v>
      </c>
      <c r="J66" s="3" t="str">
        <f t="shared" si="2"/>
        <v>SALES</v>
      </c>
      <c r="K66" s="3" t="str">
        <f t="shared" si="3"/>
        <v>sales</v>
      </c>
      <c r="L66" s="3" t="str">
        <f t="shared" si="4"/>
        <v>Sales</v>
      </c>
      <c r="M66" s="3" t="s">
        <v>87</v>
      </c>
      <c r="N66" s="3" t="s">
        <v>48</v>
      </c>
      <c r="O66" s="4">
        <v>478662</v>
      </c>
      <c r="P66" s="3">
        <v>2</v>
      </c>
      <c r="Q66" s="3" t="s">
        <v>59</v>
      </c>
    </row>
    <row r="67" spans="1:17" ht="16.5" customHeight="1" x14ac:dyDescent="0.35">
      <c r="A67" s="3" t="s">
        <v>136</v>
      </c>
      <c r="B67" s="3" t="s">
        <v>64</v>
      </c>
      <c r="C67" s="3" t="str">
        <f t="shared" ref="C67:C101" si="5">_xlfn.TEXTBEFORE(B67, " ")</f>
        <v>James</v>
      </c>
      <c r="D67" s="3" t="str">
        <f>_xlfn.TEXTAFTER(B67, " ")</f>
        <v>Obi</v>
      </c>
      <c r="E67" s="3" t="str">
        <f>TRIM(C67)</f>
        <v>James</v>
      </c>
      <c r="F67" s="3" t="str">
        <f t="shared" ref="F67:F101" si="6">TRIM(D67)</f>
        <v>Obi</v>
      </c>
      <c r="G67" s="3" t="str">
        <f>LOWER(C67&amp; "." &amp; D67 &amp; "@dame.com")</f>
        <v>james.obi@dame.com</v>
      </c>
      <c r="H67" s="3">
        <f>LEN(SUBSTITUTE(B67," ",""))</f>
        <v>8</v>
      </c>
      <c r="I67" s="3" t="s">
        <v>71</v>
      </c>
      <c r="J67" s="3" t="str">
        <f t="shared" ref="J67:J101" si="7">UPPER(I67)</f>
        <v>HR</v>
      </c>
      <c r="K67" s="3" t="str">
        <f t="shared" ref="K67:K101" si="8">LOWER(I67)</f>
        <v>hr</v>
      </c>
      <c r="L67" s="3" t="str">
        <f t="shared" ref="L67:L101" si="9">PROPER(I67)</f>
        <v>Hr</v>
      </c>
      <c r="M67" s="3" t="s">
        <v>87</v>
      </c>
      <c r="N67" s="3" t="s">
        <v>48</v>
      </c>
      <c r="O67" s="4">
        <v>447144</v>
      </c>
      <c r="P67" s="3">
        <v>10</v>
      </c>
      <c r="Q67" s="3" t="s">
        <v>66</v>
      </c>
    </row>
    <row r="68" spans="1:17" ht="16.5" customHeight="1" x14ac:dyDescent="0.35">
      <c r="A68" s="3" t="s">
        <v>137</v>
      </c>
      <c r="B68" s="3" t="s">
        <v>51</v>
      </c>
      <c r="C68" s="3" t="str">
        <f t="shared" si="5"/>
        <v>Faith</v>
      </c>
      <c r="D68" s="3" t="str">
        <f>_xlfn.TEXTAFTER(B68, " ")</f>
        <v>Udo</v>
      </c>
      <c r="E68" s="3" t="str">
        <f>TRIM(C68)</f>
        <v>Faith</v>
      </c>
      <c r="F68" s="3" t="str">
        <f t="shared" si="6"/>
        <v>Udo</v>
      </c>
      <c r="G68" s="3" t="str">
        <f>LOWER(C68&amp; "." &amp; D68 &amp; "@dame.com")</f>
        <v>faith.udo@dame.com</v>
      </c>
      <c r="H68" s="3">
        <f>LEN(SUBSTITUTE(B68," ",""))</f>
        <v>8</v>
      </c>
      <c r="I68" s="3" t="s">
        <v>54</v>
      </c>
      <c r="J68" s="3" t="str">
        <f t="shared" si="7"/>
        <v>FINANCE</v>
      </c>
      <c r="K68" s="3" t="str">
        <f t="shared" si="8"/>
        <v>finance</v>
      </c>
      <c r="L68" s="3" t="str">
        <f t="shared" si="9"/>
        <v>Finance</v>
      </c>
      <c r="M68" s="3" t="s">
        <v>76</v>
      </c>
      <c r="N68" s="3" t="s">
        <v>48</v>
      </c>
      <c r="O68" s="4">
        <v>367942</v>
      </c>
      <c r="P68" s="3">
        <v>8</v>
      </c>
      <c r="Q68" s="3" t="s">
        <v>44</v>
      </c>
    </row>
    <row r="69" spans="1:17" ht="16.5" customHeight="1" x14ac:dyDescent="0.35">
      <c r="A69" s="3" t="s">
        <v>138</v>
      </c>
      <c r="B69" s="3" t="s">
        <v>94</v>
      </c>
      <c r="C69" s="3" t="str">
        <f t="shared" si="5"/>
        <v>Ngozi</v>
      </c>
      <c r="D69" s="3" t="str">
        <f>_xlfn.TEXTAFTER(B69, " ")</f>
        <v>Bello</v>
      </c>
      <c r="E69" s="3" t="str">
        <f>TRIM(C69)</f>
        <v>Ngozi</v>
      </c>
      <c r="F69" s="3" t="str">
        <f t="shared" si="6"/>
        <v>Bello</v>
      </c>
      <c r="G69" s="3" t="str">
        <f>LOWER(C69&amp; "." &amp; D69 &amp; "@dame.com")</f>
        <v>ngozi.bello@dame.com</v>
      </c>
      <c r="H69" s="3">
        <f>LEN(SUBSTITUTE(B69," ",""))</f>
        <v>10</v>
      </c>
      <c r="I69" s="3" t="s">
        <v>52</v>
      </c>
      <c r="J69" s="3" t="str">
        <f t="shared" si="7"/>
        <v>SALES</v>
      </c>
      <c r="K69" s="3" t="str">
        <f t="shared" si="8"/>
        <v>sales</v>
      </c>
      <c r="L69" s="3" t="str">
        <f t="shared" si="9"/>
        <v>Sales</v>
      </c>
      <c r="M69" s="3" t="s">
        <v>90</v>
      </c>
      <c r="N69" s="3" t="s">
        <v>43</v>
      </c>
      <c r="O69" s="4">
        <v>225459</v>
      </c>
      <c r="P69" s="3">
        <v>2</v>
      </c>
      <c r="Q69" s="3" t="s">
        <v>59</v>
      </c>
    </row>
    <row r="70" spans="1:17" ht="16.5" customHeight="1" x14ac:dyDescent="0.35">
      <c r="A70" s="3" t="s">
        <v>139</v>
      </c>
      <c r="B70" s="3" t="s">
        <v>61</v>
      </c>
      <c r="C70" s="3" t="str">
        <f t="shared" si="5"/>
        <v>Tunde</v>
      </c>
      <c r="D70" s="3" t="str">
        <f>_xlfn.TEXTAFTER(B70, " ")</f>
        <v>Salisu</v>
      </c>
      <c r="E70" s="3" t="str">
        <f>TRIM(C70)</f>
        <v>Tunde</v>
      </c>
      <c r="F70" s="3" t="str">
        <f t="shared" si="6"/>
        <v>Salisu</v>
      </c>
      <c r="G70" s="3" t="str">
        <f>LOWER(C70&amp; "." &amp; D70 &amp; "@dame.com")</f>
        <v>tunde.salisu@dame.com</v>
      </c>
      <c r="H70" s="3">
        <f>LEN(SUBSTITUTE(B70," ",""))</f>
        <v>11</v>
      </c>
      <c r="I70" s="3" t="s">
        <v>41</v>
      </c>
      <c r="J70" s="3" t="str">
        <f t="shared" si="7"/>
        <v>IT</v>
      </c>
      <c r="K70" s="3" t="str">
        <f t="shared" si="8"/>
        <v>it</v>
      </c>
      <c r="L70" s="3" t="str">
        <f t="shared" si="9"/>
        <v>It</v>
      </c>
      <c r="M70" s="3" t="s">
        <v>87</v>
      </c>
      <c r="N70" s="3" t="s">
        <v>43</v>
      </c>
      <c r="O70" s="4">
        <v>334185</v>
      </c>
      <c r="P70" s="3">
        <v>2</v>
      </c>
      <c r="Q70" s="3" t="s">
        <v>44</v>
      </c>
    </row>
    <row r="71" spans="1:17" ht="16.5" customHeight="1" x14ac:dyDescent="0.35">
      <c r="A71" s="3" t="s">
        <v>140</v>
      </c>
      <c r="B71" s="3" t="s">
        <v>75</v>
      </c>
      <c r="C71" s="3" t="str">
        <f t="shared" si="5"/>
        <v>Chika</v>
      </c>
      <c r="D71" s="3" t="str">
        <f>_xlfn.TEXTAFTER(B71, " ")</f>
        <v>Umeh</v>
      </c>
      <c r="E71" s="3" t="str">
        <f>TRIM(C71)</f>
        <v>Chika</v>
      </c>
      <c r="F71" s="3" t="str">
        <f t="shared" si="6"/>
        <v>Umeh</v>
      </c>
      <c r="G71" s="3" t="str">
        <f>LOWER(C71&amp; "." &amp; D71 &amp; "@dame.com")</f>
        <v>chika.umeh@dame.com</v>
      </c>
      <c r="H71" s="3">
        <f>LEN(SUBSTITUTE(B71," ",""))</f>
        <v>9</v>
      </c>
      <c r="I71" s="3" t="s">
        <v>41</v>
      </c>
      <c r="J71" s="3" t="str">
        <f t="shared" si="7"/>
        <v>IT</v>
      </c>
      <c r="K71" s="3" t="str">
        <f t="shared" si="8"/>
        <v>it</v>
      </c>
      <c r="L71" s="3" t="str">
        <f t="shared" si="9"/>
        <v>It</v>
      </c>
      <c r="M71" s="3" t="s">
        <v>90</v>
      </c>
      <c r="N71" s="3" t="s">
        <v>48</v>
      </c>
      <c r="O71" s="4">
        <v>329104</v>
      </c>
      <c r="P71" s="3">
        <v>2</v>
      </c>
      <c r="Q71" s="3" t="s">
        <v>56</v>
      </c>
    </row>
    <row r="72" spans="1:17" ht="16.5" customHeight="1" x14ac:dyDescent="0.35">
      <c r="A72" s="3" t="s">
        <v>141</v>
      </c>
      <c r="B72" s="3" t="s">
        <v>58</v>
      </c>
      <c r="C72" s="3" t="str">
        <f t="shared" si="5"/>
        <v>Ibrahim</v>
      </c>
      <c r="D72" s="3" t="str">
        <f>_xlfn.TEXTAFTER(B72, " ")</f>
        <v>Musa</v>
      </c>
      <c r="E72" s="3" t="str">
        <f>TRIM(C72)</f>
        <v>Ibrahim</v>
      </c>
      <c r="F72" s="3" t="str">
        <f t="shared" si="6"/>
        <v>Musa</v>
      </c>
      <c r="G72" s="3" t="str">
        <f>LOWER(C72&amp; "." &amp; D72 &amp; "@dame.com")</f>
        <v>ibrahim.musa@dame.com</v>
      </c>
      <c r="H72" s="3">
        <f>LEN(SUBSTITUTE(B72," ",""))</f>
        <v>11</v>
      </c>
      <c r="I72" s="3" t="s">
        <v>41</v>
      </c>
      <c r="J72" s="3" t="str">
        <f t="shared" si="7"/>
        <v>IT</v>
      </c>
      <c r="K72" s="3" t="str">
        <f t="shared" si="8"/>
        <v>it</v>
      </c>
      <c r="L72" s="3" t="str">
        <f t="shared" si="9"/>
        <v>It</v>
      </c>
      <c r="M72" s="3" t="s">
        <v>42</v>
      </c>
      <c r="N72" s="3" t="s">
        <v>48</v>
      </c>
      <c r="O72" s="4">
        <v>253559</v>
      </c>
      <c r="P72" s="3">
        <v>4</v>
      </c>
      <c r="Q72" s="3" t="s">
        <v>66</v>
      </c>
    </row>
    <row r="73" spans="1:17" ht="16.5" customHeight="1" x14ac:dyDescent="0.35">
      <c r="A73" s="3" t="s">
        <v>142</v>
      </c>
      <c r="B73" s="3" t="s">
        <v>58</v>
      </c>
      <c r="C73" s="3" t="str">
        <f t="shared" si="5"/>
        <v>Ibrahim</v>
      </c>
      <c r="D73" s="3" t="str">
        <f>_xlfn.TEXTAFTER(B73, " ")</f>
        <v>Musa</v>
      </c>
      <c r="E73" s="3" t="str">
        <f>TRIM(C73)</f>
        <v>Ibrahim</v>
      </c>
      <c r="F73" s="3" t="str">
        <f t="shared" si="6"/>
        <v>Musa</v>
      </c>
      <c r="G73" s="3" t="str">
        <f>LOWER(C73&amp; "." &amp; D73 &amp; "@dame.com")</f>
        <v>ibrahim.musa@dame.com</v>
      </c>
      <c r="H73" s="3">
        <f>LEN(SUBSTITUTE(B73," ",""))</f>
        <v>11</v>
      </c>
      <c r="I73" s="3" t="s">
        <v>46</v>
      </c>
      <c r="J73" s="3" t="str">
        <f t="shared" si="7"/>
        <v>MARKETING</v>
      </c>
      <c r="K73" s="3" t="str">
        <f t="shared" si="8"/>
        <v>marketing</v>
      </c>
      <c r="L73" s="3" t="str">
        <f t="shared" si="9"/>
        <v>Marketing</v>
      </c>
      <c r="M73" s="3" t="s">
        <v>42</v>
      </c>
      <c r="N73" s="3" t="s">
        <v>43</v>
      </c>
      <c r="O73" s="4">
        <v>203632</v>
      </c>
      <c r="P73" s="3">
        <v>4</v>
      </c>
      <c r="Q73" s="3" t="s">
        <v>49</v>
      </c>
    </row>
    <row r="74" spans="1:17" ht="16.5" customHeight="1" x14ac:dyDescent="0.35">
      <c r="A74" s="3" t="s">
        <v>143</v>
      </c>
      <c r="B74" s="3" t="s">
        <v>40</v>
      </c>
      <c r="C74" s="3" t="str">
        <f t="shared" si="5"/>
        <v>Sade</v>
      </c>
      <c r="D74" s="3" t="str">
        <f>_xlfn.TEXTAFTER(B74, " ")</f>
        <v>Bassey</v>
      </c>
      <c r="E74" s="3" t="str">
        <f>TRIM(C74)</f>
        <v>Sade</v>
      </c>
      <c r="F74" s="3" t="str">
        <f t="shared" si="6"/>
        <v>Bassey</v>
      </c>
      <c r="G74" s="3" t="str">
        <f>LOWER(C74&amp; "." &amp; D74 &amp; "@dame.com")</f>
        <v>sade.bassey@dame.com</v>
      </c>
      <c r="H74" s="3">
        <f>LEN(SUBSTITUTE(B74," ",""))</f>
        <v>10</v>
      </c>
      <c r="I74" s="3" t="s">
        <v>41</v>
      </c>
      <c r="J74" s="3" t="str">
        <f t="shared" si="7"/>
        <v>IT</v>
      </c>
      <c r="K74" s="3" t="str">
        <f t="shared" si="8"/>
        <v>it</v>
      </c>
      <c r="L74" s="3" t="str">
        <f t="shared" si="9"/>
        <v>It</v>
      </c>
      <c r="M74" s="3" t="s">
        <v>73</v>
      </c>
      <c r="N74" s="3" t="s">
        <v>48</v>
      </c>
      <c r="O74" s="4">
        <v>404012</v>
      </c>
      <c r="P74" s="3">
        <v>7</v>
      </c>
      <c r="Q74" s="3" t="s">
        <v>59</v>
      </c>
    </row>
    <row r="75" spans="1:17" ht="16.5" customHeight="1" x14ac:dyDescent="0.35">
      <c r="A75" s="3" t="s">
        <v>144</v>
      </c>
      <c r="B75" s="3" t="s">
        <v>85</v>
      </c>
      <c r="C75" s="3" t="str">
        <f t="shared" si="5"/>
        <v>Maria</v>
      </c>
      <c r="D75" s="3" t="str">
        <f>_xlfn.TEXTAFTER(B75, " ")</f>
        <v>Okafor</v>
      </c>
      <c r="E75" s="3" t="str">
        <f>TRIM(C75)</f>
        <v>Maria</v>
      </c>
      <c r="F75" s="3" t="str">
        <f t="shared" si="6"/>
        <v>Okafor</v>
      </c>
      <c r="G75" s="3" t="str">
        <f>LOWER(C75&amp; "." &amp; D75 &amp; "@dame.com")</f>
        <v>maria.okafor@dame.com</v>
      </c>
      <c r="H75" s="3">
        <f>LEN(SUBSTITUTE(B75," ",""))</f>
        <v>11</v>
      </c>
      <c r="I75" s="3" t="s">
        <v>41</v>
      </c>
      <c r="J75" s="3" t="str">
        <f t="shared" si="7"/>
        <v>IT</v>
      </c>
      <c r="K75" s="3" t="str">
        <f t="shared" si="8"/>
        <v>it</v>
      </c>
      <c r="L75" s="3" t="str">
        <f t="shared" si="9"/>
        <v>It</v>
      </c>
      <c r="M75" s="3" t="s">
        <v>90</v>
      </c>
      <c r="N75" s="3" t="s">
        <v>43</v>
      </c>
      <c r="O75" s="4">
        <v>493395</v>
      </c>
      <c r="P75" s="3">
        <v>4</v>
      </c>
      <c r="Q75" s="3" t="s">
        <v>44</v>
      </c>
    </row>
    <row r="76" spans="1:17" ht="16.5" customHeight="1" x14ac:dyDescent="0.35">
      <c r="A76" s="3" t="s">
        <v>145</v>
      </c>
      <c r="B76" s="3" t="s">
        <v>58</v>
      </c>
      <c r="C76" s="3" t="str">
        <f t="shared" si="5"/>
        <v>Ibrahim</v>
      </c>
      <c r="D76" s="3" t="str">
        <f>_xlfn.TEXTAFTER(B76, " ")</f>
        <v>Musa</v>
      </c>
      <c r="E76" s="3" t="str">
        <f>TRIM(C76)</f>
        <v>Ibrahim</v>
      </c>
      <c r="F76" s="3" t="str">
        <f t="shared" si="6"/>
        <v>Musa</v>
      </c>
      <c r="G76" s="3" t="str">
        <f>LOWER(C76&amp; "." &amp; D76 &amp; "@dame.com")</f>
        <v>ibrahim.musa@dame.com</v>
      </c>
      <c r="H76" s="3">
        <f>LEN(SUBSTITUTE(B76," ",""))</f>
        <v>11</v>
      </c>
      <c r="I76" s="3" t="s">
        <v>52</v>
      </c>
      <c r="J76" s="3" t="str">
        <f t="shared" si="7"/>
        <v>SALES</v>
      </c>
      <c r="K76" s="3" t="str">
        <f t="shared" si="8"/>
        <v>sales</v>
      </c>
      <c r="L76" s="3" t="str">
        <f t="shared" si="9"/>
        <v>Sales</v>
      </c>
      <c r="M76" s="3" t="s">
        <v>73</v>
      </c>
      <c r="N76" s="3" t="s">
        <v>43</v>
      </c>
      <c r="O76" s="4">
        <v>372679</v>
      </c>
      <c r="P76" s="3">
        <v>2</v>
      </c>
      <c r="Q76" s="3" t="s">
        <v>44</v>
      </c>
    </row>
    <row r="77" spans="1:17" ht="16.5" customHeight="1" x14ac:dyDescent="0.35">
      <c r="A77" s="3" t="s">
        <v>146</v>
      </c>
      <c r="B77" s="3" t="s">
        <v>51</v>
      </c>
      <c r="C77" s="3" t="str">
        <f t="shared" si="5"/>
        <v>Faith</v>
      </c>
      <c r="D77" s="3" t="str">
        <f>_xlfn.TEXTAFTER(B77, " ")</f>
        <v>Udo</v>
      </c>
      <c r="E77" s="3" t="str">
        <f>TRIM(C77)</f>
        <v>Faith</v>
      </c>
      <c r="F77" s="3" t="str">
        <f t="shared" si="6"/>
        <v>Udo</v>
      </c>
      <c r="G77" s="3" t="str">
        <f>LOWER(C77&amp; "." &amp; D77 &amp; "@dame.com")</f>
        <v>faith.udo@dame.com</v>
      </c>
      <c r="H77" s="3">
        <f>LEN(SUBSTITUTE(B77," ",""))</f>
        <v>8</v>
      </c>
      <c r="I77" s="3" t="s">
        <v>71</v>
      </c>
      <c r="J77" s="3" t="str">
        <f t="shared" si="7"/>
        <v>HR</v>
      </c>
      <c r="K77" s="3" t="str">
        <f t="shared" si="8"/>
        <v>hr</v>
      </c>
      <c r="L77" s="3" t="str">
        <f t="shared" si="9"/>
        <v>Hr</v>
      </c>
      <c r="M77" s="3" t="s">
        <v>47</v>
      </c>
      <c r="N77" s="3" t="s">
        <v>48</v>
      </c>
      <c r="O77" s="4">
        <v>464770</v>
      </c>
      <c r="P77" s="3">
        <v>9</v>
      </c>
      <c r="Q77" s="3" t="s">
        <v>44</v>
      </c>
    </row>
    <row r="78" spans="1:17" ht="16.5" customHeight="1" x14ac:dyDescent="0.35">
      <c r="A78" s="3" t="s">
        <v>147</v>
      </c>
      <c r="B78" s="3" t="s">
        <v>85</v>
      </c>
      <c r="C78" s="3" t="str">
        <f t="shared" si="5"/>
        <v>Maria</v>
      </c>
      <c r="D78" s="3" t="str">
        <f>_xlfn.TEXTAFTER(B78, " ")</f>
        <v>Okafor</v>
      </c>
      <c r="E78" s="3" t="str">
        <f>TRIM(C78)</f>
        <v>Maria</v>
      </c>
      <c r="F78" s="3" t="str">
        <f t="shared" si="6"/>
        <v>Okafor</v>
      </c>
      <c r="G78" s="3" t="str">
        <f>LOWER(C78&amp; "." &amp; D78 &amp; "@dame.com")</f>
        <v>maria.okafor@dame.com</v>
      </c>
      <c r="H78" s="3">
        <f>LEN(SUBSTITUTE(B78," ",""))</f>
        <v>11</v>
      </c>
      <c r="I78" s="3" t="s">
        <v>52</v>
      </c>
      <c r="J78" s="3" t="str">
        <f t="shared" si="7"/>
        <v>SALES</v>
      </c>
      <c r="K78" s="3" t="str">
        <f t="shared" si="8"/>
        <v>sales</v>
      </c>
      <c r="L78" s="3" t="str">
        <f t="shared" si="9"/>
        <v>Sales</v>
      </c>
      <c r="M78" s="3" t="s">
        <v>87</v>
      </c>
      <c r="N78" s="3" t="s">
        <v>48</v>
      </c>
      <c r="O78" s="4">
        <v>360225</v>
      </c>
      <c r="P78" s="3">
        <v>3</v>
      </c>
      <c r="Q78" s="3" t="s">
        <v>49</v>
      </c>
    </row>
    <row r="79" spans="1:17" ht="16.5" customHeight="1" x14ac:dyDescent="0.35">
      <c r="A79" s="3" t="s">
        <v>148</v>
      </c>
      <c r="B79" s="3" t="s">
        <v>58</v>
      </c>
      <c r="C79" s="3" t="str">
        <f t="shared" si="5"/>
        <v>Ibrahim</v>
      </c>
      <c r="D79" s="3" t="str">
        <f>_xlfn.TEXTAFTER(B79, " ")</f>
        <v>Musa</v>
      </c>
      <c r="E79" s="3" t="str">
        <f>TRIM(C79)</f>
        <v>Ibrahim</v>
      </c>
      <c r="F79" s="3" t="str">
        <f t="shared" si="6"/>
        <v>Musa</v>
      </c>
      <c r="G79" s="3" t="str">
        <f>LOWER(C79&amp; "." &amp; D79 &amp; "@dame.com")</f>
        <v>ibrahim.musa@dame.com</v>
      </c>
      <c r="H79" s="3">
        <f>LEN(SUBSTITUTE(B79," ",""))</f>
        <v>11</v>
      </c>
      <c r="I79" s="3" t="s">
        <v>41</v>
      </c>
      <c r="J79" s="3" t="str">
        <f t="shared" si="7"/>
        <v>IT</v>
      </c>
      <c r="K79" s="3" t="str">
        <f t="shared" si="8"/>
        <v>it</v>
      </c>
      <c r="L79" s="3" t="str">
        <f t="shared" si="9"/>
        <v>It</v>
      </c>
      <c r="M79" s="3" t="s">
        <v>76</v>
      </c>
      <c r="N79" s="3" t="s">
        <v>43</v>
      </c>
      <c r="O79" s="4">
        <v>422249</v>
      </c>
      <c r="P79" s="3">
        <v>10</v>
      </c>
      <c r="Q79" s="3" t="s">
        <v>66</v>
      </c>
    </row>
    <row r="80" spans="1:17" ht="16.5" customHeight="1" x14ac:dyDescent="0.35">
      <c r="A80" s="3" t="s">
        <v>149</v>
      </c>
      <c r="B80" s="3" t="s">
        <v>61</v>
      </c>
      <c r="C80" s="3" t="str">
        <f t="shared" si="5"/>
        <v>Tunde</v>
      </c>
      <c r="D80" s="3" t="str">
        <f>_xlfn.TEXTAFTER(B80, " ")</f>
        <v>Salisu</v>
      </c>
      <c r="E80" s="3" t="str">
        <f>TRIM(C80)</f>
        <v>Tunde</v>
      </c>
      <c r="F80" s="3" t="str">
        <f t="shared" si="6"/>
        <v>Salisu</v>
      </c>
      <c r="G80" s="3" t="str">
        <f>LOWER(C80&amp; "." &amp; D80 &amp; "@dame.com")</f>
        <v>tunde.salisu@dame.com</v>
      </c>
      <c r="H80" s="3">
        <f>LEN(SUBSTITUTE(B80," ",""))</f>
        <v>11</v>
      </c>
      <c r="I80" s="3" t="s">
        <v>52</v>
      </c>
      <c r="J80" s="3" t="str">
        <f t="shared" si="7"/>
        <v>SALES</v>
      </c>
      <c r="K80" s="3" t="str">
        <f t="shared" si="8"/>
        <v>sales</v>
      </c>
      <c r="L80" s="3" t="str">
        <f t="shared" si="9"/>
        <v>Sales</v>
      </c>
      <c r="M80" s="3" t="s">
        <v>90</v>
      </c>
      <c r="N80" s="3" t="s">
        <v>48</v>
      </c>
      <c r="O80" s="4">
        <v>343548</v>
      </c>
      <c r="P80" s="3">
        <v>7</v>
      </c>
      <c r="Q80" s="3" t="s">
        <v>59</v>
      </c>
    </row>
    <row r="81" spans="1:17" ht="16.5" customHeight="1" x14ac:dyDescent="0.35">
      <c r="A81" s="3" t="s">
        <v>150</v>
      </c>
      <c r="B81" s="3" t="s">
        <v>75</v>
      </c>
      <c r="C81" s="3" t="str">
        <f t="shared" si="5"/>
        <v>Chika</v>
      </c>
      <c r="D81" s="3" t="str">
        <f>_xlfn.TEXTAFTER(B81, " ")</f>
        <v>Umeh</v>
      </c>
      <c r="E81" s="3" t="str">
        <f>TRIM(C81)</f>
        <v>Chika</v>
      </c>
      <c r="F81" s="3" t="str">
        <f t="shared" si="6"/>
        <v>Umeh</v>
      </c>
      <c r="G81" s="3" t="str">
        <f>LOWER(C81&amp; "." &amp; D81 &amp; "@dame.com")</f>
        <v>chika.umeh@dame.com</v>
      </c>
      <c r="H81" s="3">
        <f>LEN(SUBSTITUTE(B81," ",""))</f>
        <v>9</v>
      </c>
      <c r="I81" s="3" t="s">
        <v>46</v>
      </c>
      <c r="J81" s="3" t="str">
        <f t="shared" si="7"/>
        <v>MARKETING</v>
      </c>
      <c r="K81" s="3" t="str">
        <f t="shared" si="8"/>
        <v>marketing</v>
      </c>
      <c r="L81" s="3" t="str">
        <f t="shared" si="9"/>
        <v>Marketing</v>
      </c>
      <c r="M81" s="3" t="s">
        <v>47</v>
      </c>
      <c r="N81" s="3" t="s">
        <v>43</v>
      </c>
      <c r="O81" s="4">
        <v>429470</v>
      </c>
      <c r="P81" s="3">
        <v>3</v>
      </c>
      <c r="Q81" s="3" t="s">
        <v>44</v>
      </c>
    </row>
    <row r="82" spans="1:17" ht="16.5" customHeight="1" x14ac:dyDescent="0.35">
      <c r="A82" s="3" t="s">
        <v>151</v>
      </c>
      <c r="B82" s="3" t="s">
        <v>85</v>
      </c>
      <c r="C82" s="3" t="str">
        <f t="shared" si="5"/>
        <v>Maria</v>
      </c>
      <c r="D82" s="3" t="str">
        <f>_xlfn.TEXTAFTER(B82, " ")</f>
        <v>Okafor</v>
      </c>
      <c r="E82" s="3" t="str">
        <f>TRIM(C82)</f>
        <v>Maria</v>
      </c>
      <c r="F82" s="3" t="str">
        <f t="shared" si="6"/>
        <v>Okafor</v>
      </c>
      <c r="G82" s="3" t="str">
        <f>LOWER(C82&amp; "." &amp; D82 &amp; "@dame.com")</f>
        <v>maria.okafor@dame.com</v>
      </c>
      <c r="H82" s="3">
        <f>LEN(SUBSTITUTE(B82," ",""))</f>
        <v>11</v>
      </c>
      <c r="I82" s="3" t="s">
        <v>71</v>
      </c>
      <c r="J82" s="3" t="str">
        <f t="shared" si="7"/>
        <v>HR</v>
      </c>
      <c r="K82" s="3" t="str">
        <f t="shared" si="8"/>
        <v>hr</v>
      </c>
      <c r="L82" s="3" t="str">
        <f t="shared" si="9"/>
        <v>Hr</v>
      </c>
      <c r="M82" s="3" t="s">
        <v>62</v>
      </c>
      <c r="N82" s="3" t="s">
        <v>48</v>
      </c>
      <c r="O82" s="4">
        <v>228264</v>
      </c>
      <c r="P82" s="3">
        <v>5</v>
      </c>
      <c r="Q82" s="3" t="s">
        <v>59</v>
      </c>
    </row>
    <row r="83" spans="1:17" ht="16.5" customHeight="1" x14ac:dyDescent="0.35">
      <c r="A83" s="3" t="s">
        <v>152</v>
      </c>
      <c r="B83" s="3" t="s">
        <v>64</v>
      </c>
      <c r="C83" s="3" t="str">
        <f t="shared" si="5"/>
        <v>James</v>
      </c>
      <c r="D83" s="3" t="str">
        <f>_xlfn.TEXTAFTER(B83, " ")</f>
        <v>Obi</v>
      </c>
      <c r="E83" s="3" t="str">
        <f>TRIM(C83)</f>
        <v>James</v>
      </c>
      <c r="F83" s="3" t="str">
        <f t="shared" si="6"/>
        <v>Obi</v>
      </c>
      <c r="G83" s="3" t="str">
        <f>LOWER(C83&amp; "." &amp; D83 &amp; "@dame.com")</f>
        <v>james.obi@dame.com</v>
      </c>
      <c r="H83" s="3">
        <f>LEN(SUBSTITUTE(B83," ",""))</f>
        <v>8</v>
      </c>
      <c r="I83" s="3" t="s">
        <v>52</v>
      </c>
      <c r="J83" s="3" t="str">
        <f t="shared" si="7"/>
        <v>SALES</v>
      </c>
      <c r="K83" s="3" t="str">
        <f t="shared" si="8"/>
        <v>sales</v>
      </c>
      <c r="L83" s="3" t="str">
        <f t="shared" si="9"/>
        <v>Sales</v>
      </c>
      <c r="M83" s="3" t="s">
        <v>55</v>
      </c>
      <c r="N83" s="3" t="s">
        <v>43</v>
      </c>
      <c r="O83" s="4">
        <v>481733</v>
      </c>
      <c r="P83" s="3">
        <v>7</v>
      </c>
      <c r="Q83" s="3" t="s">
        <v>49</v>
      </c>
    </row>
    <row r="84" spans="1:17" ht="16.5" customHeight="1" x14ac:dyDescent="0.35">
      <c r="A84" s="3" t="s">
        <v>153</v>
      </c>
      <c r="B84" s="3" t="s">
        <v>64</v>
      </c>
      <c r="C84" s="3" t="str">
        <f t="shared" si="5"/>
        <v>James</v>
      </c>
      <c r="D84" s="3" t="str">
        <f>_xlfn.TEXTAFTER(B84, " ")</f>
        <v>Obi</v>
      </c>
      <c r="E84" s="3" t="str">
        <f>TRIM(C84)</f>
        <v>James</v>
      </c>
      <c r="F84" s="3" t="str">
        <f t="shared" si="6"/>
        <v>Obi</v>
      </c>
      <c r="G84" s="3" t="str">
        <f>LOWER(C84&amp; "." &amp; D84 &amp; "@dame.com")</f>
        <v>james.obi@dame.com</v>
      </c>
      <c r="H84" s="3">
        <f>LEN(SUBSTITUTE(B84," ",""))</f>
        <v>8</v>
      </c>
      <c r="I84" s="3" t="s">
        <v>41</v>
      </c>
      <c r="J84" s="3" t="str">
        <f t="shared" si="7"/>
        <v>IT</v>
      </c>
      <c r="K84" s="3" t="str">
        <f t="shared" si="8"/>
        <v>it</v>
      </c>
      <c r="L84" s="3" t="str">
        <f t="shared" si="9"/>
        <v>It</v>
      </c>
      <c r="M84" s="3" t="s">
        <v>42</v>
      </c>
      <c r="N84" s="3" t="s">
        <v>43</v>
      </c>
      <c r="O84" s="4">
        <v>253954</v>
      </c>
      <c r="P84" s="3">
        <v>2</v>
      </c>
      <c r="Q84" s="3" t="s">
        <v>49</v>
      </c>
    </row>
    <row r="85" spans="1:17" ht="16.5" customHeight="1" x14ac:dyDescent="0.35">
      <c r="A85" s="3" t="s">
        <v>154</v>
      </c>
      <c r="B85" s="3" t="s">
        <v>64</v>
      </c>
      <c r="C85" s="3" t="str">
        <f t="shared" si="5"/>
        <v>James</v>
      </c>
      <c r="D85" s="3" t="str">
        <f>_xlfn.TEXTAFTER(B85, " ")</f>
        <v>Obi</v>
      </c>
      <c r="E85" s="3" t="str">
        <f>TRIM(C85)</f>
        <v>James</v>
      </c>
      <c r="F85" s="3" t="str">
        <f t="shared" si="6"/>
        <v>Obi</v>
      </c>
      <c r="G85" s="3" t="str">
        <f>LOWER(C85&amp; "." &amp; D85 &amp; "@dame.com")</f>
        <v>james.obi@dame.com</v>
      </c>
      <c r="H85" s="3">
        <f>LEN(SUBSTITUTE(B85," ",""))</f>
        <v>8</v>
      </c>
      <c r="I85" s="3" t="s">
        <v>41</v>
      </c>
      <c r="J85" s="3" t="str">
        <f t="shared" si="7"/>
        <v>IT</v>
      </c>
      <c r="K85" s="3" t="str">
        <f t="shared" si="8"/>
        <v>it</v>
      </c>
      <c r="L85" s="3" t="str">
        <f t="shared" si="9"/>
        <v>It</v>
      </c>
      <c r="M85" s="3" t="s">
        <v>76</v>
      </c>
      <c r="N85" s="3" t="s">
        <v>43</v>
      </c>
      <c r="O85" s="4">
        <v>338029</v>
      </c>
      <c r="P85" s="3">
        <v>6</v>
      </c>
      <c r="Q85" s="3" t="s">
        <v>66</v>
      </c>
    </row>
    <row r="86" spans="1:17" ht="16.5" customHeight="1" x14ac:dyDescent="0.35">
      <c r="A86" s="3" t="s">
        <v>155</v>
      </c>
      <c r="B86" s="3" t="s">
        <v>94</v>
      </c>
      <c r="C86" s="3" t="str">
        <f t="shared" si="5"/>
        <v>Ngozi</v>
      </c>
      <c r="D86" s="3" t="str">
        <f>_xlfn.TEXTAFTER(B86, " ")</f>
        <v>Bello</v>
      </c>
      <c r="E86" s="3" t="str">
        <f>TRIM(C86)</f>
        <v>Ngozi</v>
      </c>
      <c r="F86" s="3" t="str">
        <f t="shared" si="6"/>
        <v>Bello</v>
      </c>
      <c r="G86" s="3" t="str">
        <f>LOWER(C86&amp; "." &amp; D86 &amp; "@dame.com")</f>
        <v>ngozi.bello@dame.com</v>
      </c>
      <c r="H86" s="3">
        <f>LEN(SUBSTITUTE(B86," ",""))</f>
        <v>10</v>
      </c>
      <c r="I86" s="3" t="s">
        <v>54</v>
      </c>
      <c r="J86" s="3" t="str">
        <f t="shared" si="7"/>
        <v>FINANCE</v>
      </c>
      <c r="K86" s="3" t="str">
        <f t="shared" si="8"/>
        <v>finance</v>
      </c>
      <c r="L86" s="3" t="str">
        <f t="shared" si="9"/>
        <v>Finance</v>
      </c>
      <c r="M86" s="3" t="s">
        <v>87</v>
      </c>
      <c r="N86" s="3" t="s">
        <v>43</v>
      </c>
      <c r="O86" s="4">
        <v>340723</v>
      </c>
      <c r="P86" s="3">
        <v>7</v>
      </c>
      <c r="Q86" s="3" t="s">
        <v>44</v>
      </c>
    </row>
    <row r="87" spans="1:17" ht="16.5" customHeight="1" x14ac:dyDescent="0.35">
      <c r="A87" s="3" t="s">
        <v>156</v>
      </c>
      <c r="B87" s="3" t="s">
        <v>51</v>
      </c>
      <c r="C87" s="3" t="str">
        <f t="shared" si="5"/>
        <v>Faith</v>
      </c>
      <c r="D87" s="3" t="str">
        <f>_xlfn.TEXTAFTER(B87, " ")</f>
        <v>Udo</v>
      </c>
      <c r="E87" s="3" t="str">
        <f>TRIM(C87)</f>
        <v>Faith</v>
      </c>
      <c r="F87" s="3" t="str">
        <f t="shared" si="6"/>
        <v>Udo</v>
      </c>
      <c r="G87" s="3" t="str">
        <f>LOWER(C87&amp; "." &amp; D87 &amp; "@dame.com")</f>
        <v>faith.udo@dame.com</v>
      </c>
      <c r="H87" s="3">
        <f>LEN(SUBSTITUTE(B87," ",""))</f>
        <v>8</v>
      </c>
      <c r="I87" s="3" t="s">
        <v>46</v>
      </c>
      <c r="J87" s="3" t="str">
        <f t="shared" si="7"/>
        <v>MARKETING</v>
      </c>
      <c r="K87" s="3" t="str">
        <f t="shared" si="8"/>
        <v>marketing</v>
      </c>
      <c r="L87" s="3" t="str">
        <f t="shared" si="9"/>
        <v>Marketing</v>
      </c>
      <c r="M87" s="3" t="s">
        <v>42</v>
      </c>
      <c r="N87" s="3" t="s">
        <v>43</v>
      </c>
      <c r="O87" s="4">
        <v>216138</v>
      </c>
      <c r="P87" s="3">
        <v>2</v>
      </c>
      <c r="Q87" s="3" t="s">
        <v>44</v>
      </c>
    </row>
    <row r="88" spans="1:17" ht="16.5" customHeight="1" x14ac:dyDescent="0.35">
      <c r="A88" s="3" t="s">
        <v>157</v>
      </c>
      <c r="B88" s="3" t="s">
        <v>75</v>
      </c>
      <c r="C88" s="3" t="str">
        <f t="shared" si="5"/>
        <v>Chika</v>
      </c>
      <c r="D88" s="3" t="str">
        <f>_xlfn.TEXTAFTER(B88, " ")</f>
        <v>Umeh</v>
      </c>
      <c r="E88" s="3" t="str">
        <f>TRIM(C88)</f>
        <v>Chika</v>
      </c>
      <c r="F88" s="3" t="str">
        <f t="shared" si="6"/>
        <v>Umeh</v>
      </c>
      <c r="G88" s="3" t="str">
        <f>LOWER(C88&amp; "." &amp; D88 &amp; "@dame.com")</f>
        <v>chika.umeh@dame.com</v>
      </c>
      <c r="H88" s="3">
        <f>LEN(SUBSTITUTE(B88," ",""))</f>
        <v>9</v>
      </c>
      <c r="I88" s="3" t="s">
        <v>41</v>
      </c>
      <c r="J88" s="3" t="str">
        <f t="shared" si="7"/>
        <v>IT</v>
      </c>
      <c r="K88" s="3" t="str">
        <f t="shared" si="8"/>
        <v>it</v>
      </c>
      <c r="L88" s="3" t="str">
        <f t="shared" si="9"/>
        <v>It</v>
      </c>
      <c r="M88" s="3" t="s">
        <v>73</v>
      </c>
      <c r="N88" s="3" t="s">
        <v>48</v>
      </c>
      <c r="O88" s="4">
        <v>490025</v>
      </c>
      <c r="P88" s="3">
        <v>8</v>
      </c>
      <c r="Q88" s="3" t="s">
        <v>49</v>
      </c>
    </row>
    <row r="89" spans="1:17" ht="16.5" customHeight="1" x14ac:dyDescent="0.35">
      <c r="A89" s="3" t="s">
        <v>158</v>
      </c>
      <c r="B89" s="3" t="s">
        <v>75</v>
      </c>
      <c r="C89" s="3" t="str">
        <f t="shared" si="5"/>
        <v>Chika</v>
      </c>
      <c r="D89" s="3" t="str">
        <f>_xlfn.TEXTAFTER(B89, " ")</f>
        <v>Umeh</v>
      </c>
      <c r="E89" s="3" t="str">
        <f>TRIM(C89)</f>
        <v>Chika</v>
      </c>
      <c r="F89" s="3" t="str">
        <f t="shared" si="6"/>
        <v>Umeh</v>
      </c>
      <c r="G89" s="3" t="str">
        <f>LOWER(C89&amp; "." &amp; D89 &amp; "@dame.com")</f>
        <v>chika.umeh@dame.com</v>
      </c>
      <c r="H89" s="3">
        <f>LEN(SUBSTITUTE(B89," ",""))</f>
        <v>9</v>
      </c>
      <c r="I89" s="3" t="s">
        <v>46</v>
      </c>
      <c r="J89" s="3" t="str">
        <f t="shared" si="7"/>
        <v>MARKETING</v>
      </c>
      <c r="K89" s="3" t="str">
        <f t="shared" si="8"/>
        <v>marketing</v>
      </c>
      <c r="L89" s="3" t="str">
        <f t="shared" si="9"/>
        <v>Marketing</v>
      </c>
      <c r="M89" s="3" t="s">
        <v>68</v>
      </c>
      <c r="N89" s="3" t="s">
        <v>43</v>
      </c>
      <c r="O89" s="4">
        <v>339580</v>
      </c>
      <c r="P89" s="3">
        <v>2</v>
      </c>
      <c r="Q89" s="3" t="s">
        <v>56</v>
      </c>
    </row>
    <row r="90" spans="1:17" ht="16.5" customHeight="1" x14ac:dyDescent="0.35">
      <c r="A90" s="3" t="s">
        <v>159</v>
      </c>
      <c r="B90" s="3" t="s">
        <v>58</v>
      </c>
      <c r="C90" s="3" t="str">
        <f t="shared" si="5"/>
        <v>Ibrahim</v>
      </c>
      <c r="D90" s="3" t="str">
        <f>_xlfn.TEXTAFTER(B90, " ")</f>
        <v>Musa</v>
      </c>
      <c r="E90" s="3" t="str">
        <f>TRIM(C90)</f>
        <v>Ibrahim</v>
      </c>
      <c r="F90" s="3" t="str">
        <f t="shared" si="6"/>
        <v>Musa</v>
      </c>
      <c r="G90" s="3" t="str">
        <f>LOWER(C90&amp; "." &amp; D90 &amp; "@dame.com")</f>
        <v>ibrahim.musa@dame.com</v>
      </c>
      <c r="H90" s="3">
        <f>LEN(SUBSTITUTE(B90," ",""))</f>
        <v>11</v>
      </c>
      <c r="I90" s="3" t="s">
        <v>71</v>
      </c>
      <c r="J90" s="3" t="str">
        <f t="shared" si="7"/>
        <v>HR</v>
      </c>
      <c r="K90" s="3" t="str">
        <f t="shared" si="8"/>
        <v>hr</v>
      </c>
      <c r="L90" s="3" t="str">
        <f t="shared" si="9"/>
        <v>Hr</v>
      </c>
      <c r="M90" s="3" t="s">
        <v>76</v>
      </c>
      <c r="N90" s="3" t="s">
        <v>48</v>
      </c>
      <c r="O90" s="4">
        <v>325782</v>
      </c>
      <c r="P90" s="3">
        <v>8</v>
      </c>
      <c r="Q90" s="3" t="s">
        <v>56</v>
      </c>
    </row>
    <row r="91" spans="1:17" ht="16.5" customHeight="1" x14ac:dyDescent="0.35">
      <c r="A91" s="3" t="s">
        <v>160</v>
      </c>
      <c r="B91" s="3" t="s">
        <v>61</v>
      </c>
      <c r="C91" s="3" t="str">
        <f t="shared" si="5"/>
        <v>Tunde</v>
      </c>
      <c r="D91" s="3" t="str">
        <f>_xlfn.TEXTAFTER(B91, " ")</f>
        <v>Salisu</v>
      </c>
      <c r="E91" s="3" t="str">
        <f>TRIM(C91)</f>
        <v>Tunde</v>
      </c>
      <c r="F91" s="3" t="str">
        <f t="shared" si="6"/>
        <v>Salisu</v>
      </c>
      <c r="G91" s="3" t="str">
        <f>LOWER(C91&amp; "." &amp; D91 &amp; "@dame.com")</f>
        <v>tunde.salisu@dame.com</v>
      </c>
      <c r="H91" s="3">
        <f>LEN(SUBSTITUTE(B91," ",""))</f>
        <v>11</v>
      </c>
      <c r="I91" s="3" t="s">
        <v>41</v>
      </c>
      <c r="J91" s="3" t="str">
        <f t="shared" si="7"/>
        <v>IT</v>
      </c>
      <c r="K91" s="3" t="str">
        <f t="shared" si="8"/>
        <v>it</v>
      </c>
      <c r="L91" s="3" t="str">
        <f t="shared" si="9"/>
        <v>It</v>
      </c>
      <c r="M91" s="3" t="s">
        <v>79</v>
      </c>
      <c r="N91" s="3" t="s">
        <v>43</v>
      </c>
      <c r="O91" s="4">
        <v>397430</v>
      </c>
      <c r="P91" s="3">
        <v>10</v>
      </c>
      <c r="Q91" s="3" t="s">
        <v>59</v>
      </c>
    </row>
    <row r="92" spans="1:17" ht="16.5" customHeight="1" x14ac:dyDescent="0.35">
      <c r="A92" s="3" t="s">
        <v>161</v>
      </c>
      <c r="B92" s="3" t="s">
        <v>94</v>
      </c>
      <c r="C92" s="3" t="str">
        <f t="shared" si="5"/>
        <v>Ngozi</v>
      </c>
      <c r="D92" s="3" t="str">
        <f>_xlfn.TEXTAFTER(B92, " ")</f>
        <v>Bello</v>
      </c>
      <c r="E92" s="3" t="str">
        <f>TRIM(C92)</f>
        <v>Ngozi</v>
      </c>
      <c r="F92" s="3" t="str">
        <f t="shared" si="6"/>
        <v>Bello</v>
      </c>
      <c r="G92" s="3" t="str">
        <f>LOWER(C92&amp; "." &amp; D92 &amp; "@dame.com")</f>
        <v>ngozi.bello@dame.com</v>
      </c>
      <c r="H92" s="3">
        <f>LEN(SUBSTITUTE(B92," ",""))</f>
        <v>10</v>
      </c>
      <c r="I92" s="3" t="s">
        <v>54</v>
      </c>
      <c r="J92" s="3" t="str">
        <f t="shared" si="7"/>
        <v>FINANCE</v>
      </c>
      <c r="K92" s="3" t="str">
        <f t="shared" si="8"/>
        <v>finance</v>
      </c>
      <c r="L92" s="3" t="str">
        <f t="shared" si="9"/>
        <v>Finance</v>
      </c>
      <c r="M92" s="3" t="s">
        <v>76</v>
      </c>
      <c r="N92" s="3" t="s">
        <v>43</v>
      </c>
      <c r="O92" s="4">
        <v>300847</v>
      </c>
      <c r="P92" s="3">
        <v>4</v>
      </c>
      <c r="Q92" s="3" t="s">
        <v>44</v>
      </c>
    </row>
    <row r="93" spans="1:17" ht="16.5" customHeight="1" x14ac:dyDescent="0.35">
      <c r="A93" s="3" t="s">
        <v>162</v>
      </c>
      <c r="B93" s="3" t="s">
        <v>64</v>
      </c>
      <c r="C93" s="3" t="str">
        <f t="shared" si="5"/>
        <v>James</v>
      </c>
      <c r="D93" s="3" t="str">
        <f>_xlfn.TEXTAFTER(B93, " ")</f>
        <v>Obi</v>
      </c>
      <c r="E93" s="3" t="str">
        <f>TRIM(C93)</f>
        <v>James</v>
      </c>
      <c r="F93" s="3" t="str">
        <f t="shared" si="6"/>
        <v>Obi</v>
      </c>
      <c r="G93" s="3" t="str">
        <f>LOWER(C93&amp; "." &amp; D93 &amp; "@dame.com")</f>
        <v>james.obi@dame.com</v>
      </c>
      <c r="H93" s="3">
        <f>LEN(SUBSTITUTE(B93," ",""))</f>
        <v>8</v>
      </c>
      <c r="I93" s="3" t="s">
        <v>41</v>
      </c>
      <c r="J93" s="3" t="str">
        <f t="shared" si="7"/>
        <v>IT</v>
      </c>
      <c r="K93" s="3" t="str">
        <f t="shared" si="8"/>
        <v>it</v>
      </c>
      <c r="L93" s="3" t="str">
        <f t="shared" si="9"/>
        <v>It</v>
      </c>
      <c r="M93" s="3" t="s">
        <v>47</v>
      </c>
      <c r="N93" s="3" t="s">
        <v>43</v>
      </c>
      <c r="O93" s="4">
        <v>265948</v>
      </c>
      <c r="P93" s="3">
        <v>6</v>
      </c>
      <c r="Q93" s="3" t="s">
        <v>49</v>
      </c>
    </row>
    <row r="94" spans="1:17" ht="16.5" customHeight="1" x14ac:dyDescent="0.35">
      <c r="A94" s="3" t="s">
        <v>163</v>
      </c>
      <c r="B94" s="3" t="s">
        <v>61</v>
      </c>
      <c r="C94" s="3" t="str">
        <f t="shared" si="5"/>
        <v>Tunde</v>
      </c>
      <c r="D94" s="3" t="str">
        <f>_xlfn.TEXTAFTER(B94, " ")</f>
        <v>Salisu</v>
      </c>
      <c r="E94" s="3" t="str">
        <f>TRIM(C94)</f>
        <v>Tunde</v>
      </c>
      <c r="F94" s="3" t="str">
        <f t="shared" si="6"/>
        <v>Salisu</v>
      </c>
      <c r="G94" s="3" t="str">
        <f>LOWER(C94&amp; "." &amp; D94 &amp; "@dame.com")</f>
        <v>tunde.salisu@dame.com</v>
      </c>
      <c r="H94" s="3">
        <f>LEN(SUBSTITUTE(B94," ",""))</f>
        <v>11</v>
      </c>
      <c r="I94" s="3" t="s">
        <v>71</v>
      </c>
      <c r="J94" s="3" t="str">
        <f t="shared" si="7"/>
        <v>HR</v>
      </c>
      <c r="K94" s="3" t="str">
        <f t="shared" si="8"/>
        <v>hr</v>
      </c>
      <c r="L94" s="3" t="str">
        <f t="shared" si="9"/>
        <v>Hr</v>
      </c>
      <c r="M94" s="3" t="s">
        <v>68</v>
      </c>
      <c r="N94" s="3" t="s">
        <v>48</v>
      </c>
      <c r="O94" s="4">
        <v>341060</v>
      </c>
      <c r="P94" s="3">
        <v>7</v>
      </c>
      <c r="Q94" s="3" t="s">
        <v>66</v>
      </c>
    </row>
    <row r="95" spans="1:17" ht="16.5" customHeight="1" x14ac:dyDescent="0.35">
      <c r="A95" s="3" t="s">
        <v>164</v>
      </c>
      <c r="B95" s="3" t="s">
        <v>94</v>
      </c>
      <c r="C95" s="3" t="str">
        <f t="shared" si="5"/>
        <v>Ngozi</v>
      </c>
      <c r="D95" s="3" t="str">
        <f>_xlfn.TEXTAFTER(B95, " ")</f>
        <v>Bello</v>
      </c>
      <c r="E95" s="3" t="str">
        <f>TRIM(C95)</f>
        <v>Ngozi</v>
      </c>
      <c r="F95" s="3" t="str">
        <f t="shared" si="6"/>
        <v>Bello</v>
      </c>
      <c r="G95" s="3" t="str">
        <f>LOWER(C95&amp; "." &amp; D95 &amp; "@dame.com")</f>
        <v>ngozi.bello@dame.com</v>
      </c>
      <c r="H95" s="3">
        <f>LEN(SUBSTITUTE(B95," ",""))</f>
        <v>10</v>
      </c>
      <c r="I95" s="3" t="s">
        <v>46</v>
      </c>
      <c r="J95" s="3" t="str">
        <f t="shared" si="7"/>
        <v>MARKETING</v>
      </c>
      <c r="K95" s="3" t="str">
        <f t="shared" si="8"/>
        <v>marketing</v>
      </c>
      <c r="L95" s="3" t="str">
        <f t="shared" si="9"/>
        <v>Marketing</v>
      </c>
      <c r="M95" s="3" t="s">
        <v>55</v>
      </c>
      <c r="N95" s="3" t="s">
        <v>48</v>
      </c>
      <c r="O95" s="4">
        <v>326977</v>
      </c>
      <c r="P95" s="3">
        <v>4</v>
      </c>
      <c r="Q95" s="3" t="s">
        <v>49</v>
      </c>
    </row>
    <row r="96" spans="1:17" ht="16.5" customHeight="1" x14ac:dyDescent="0.35">
      <c r="A96" s="3" t="s">
        <v>165</v>
      </c>
      <c r="B96" s="3" t="s">
        <v>61</v>
      </c>
      <c r="C96" s="3" t="str">
        <f t="shared" si="5"/>
        <v>Tunde</v>
      </c>
      <c r="D96" s="3" t="str">
        <f>_xlfn.TEXTAFTER(B96, " ")</f>
        <v>Salisu</v>
      </c>
      <c r="E96" s="3" t="str">
        <f>TRIM(C96)</f>
        <v>Tunde</v>
      </c>
      <c r="F96" s="3" t="str">
        <f t="shared" si="6"/>
        <v>Salisu</v>
      </c>
      <c r="G96" s="3" t="str">
        <f>LOWER(C96&amp; "." &amp; D96 &amp; "@dame.com")</f>
        <v>tunde.salisu@dame.com</v>
      </c>
      <c r="H96" s="3">
        <f>LEN(SUBSTITUTE(B96," ",""))</f>
        <v>11</v>
      </c>
      <c r="I96" s="3" t="s">
        <v>41</v>
      </c>
      <c r="J96" s="3" t="str">
        <f t="shared" si="7"/>
        <v>IT</v>
      </c>
      <c r="K96" s="3" t="str">
        <f t="shared" si="8"/>
        <v>it</v>
      </c>
      <c r="L96" s="3" t="str">
        <f t="shared" si="9"/>
        <v>It</v>
      </c>
      <c r="M96" s="3" t="s">
        <v>42</v>
      </c>
      <c r="N96" s="3" t="s">
        <v>43</v>
      </c>
      <c r="O96" s="4">
        <v>433031</v>
      </c>
      <c r="P96" s="3">
        <v>1</v>
      </c>
      <c r="Q96" s="3" t="s">
        <v>49</v>
      </c>
    </row>
    <row r="97" spans="1:17" ht="16.5" customHeight="1" x14ac:dyDescent="0.35">
      <c r="A97" s="3" t="s">
        <v>166</v>
      </c>
      <c r="B97" s="3" t="s">
        <v>58</v>
      </c>
      <c r="C97" s="3" t="str">
        <f t="shared" si="5"/>
        <v>Ibrahim</v>
      </c>
      <c r="D97" s="3" t="str">
        <f>_xlfn.TEXTAFTER(B97, " ")</f>
        <v>Musa</v>
      </c>
      <c r="E97" s="3" t="str">
        <f>TRIM(C97)</f>
        <v>Ibrahim</v>
      </c>
      <c r="F97" s="3" t="str">
        <f t="shared" si="6"/>
        <v>Musa</v>
      </c>
      <c r="G97" s="3" t="str">
        <f>LOWER(C97&amp; "." &amp; D97 &amp; "@dame.com")</f>
        <v>ibrahim.musa@dame.com</v>
      </c>
      <c r="H97" s="3">
        <f>LEN(SUBSTITUTE(B97," ",""))</f>
        <v>11</v>
      </c>
      <c r="I97" s="3" t="s">
        <v>46</v>
      </c>
      <c r="J97" s="3" t="str">
        <f t="shared" si="7"/>
        <v>MARKETING</v>
      </c>
      <c r="K97" s="3" t="str">
        <f t="shared" si="8"/>
        <v>marketing</v>
      </c>
      <c r="L97" s="3" t="str">
        <f t="shared" si="9"/>
        <v>Marketing</v>
      </c>
      <c r="M97" s="3" t="s">
        <v>62</v>
      </c>
      <c r="N97" s="3" t="s">
        <v>43</v>
      </c>
      <c r="O97" s="4">
        <v>421034</v>
      </c>
      <c r="P97" s="3">
        <v>3</v>
      </c>
      <c r="Q97" s="3" t="s">
        <v>56</v>
      </c>
    </row>
    <row r="98" spans="1:17" ht="16.5" customHeight="1" x14ac:dyDescent="0.35">
      <c r="A98" s="3" t="s">
        <v>167</v>
      </c>
      <c r="B98" s="3" t="s">
        <v>51</v>
      </c>
      <c r="C98" s="3" t="str">
        <f t="shared" si="5"/>
        <v>Faith</v>
      </c>
      <c r="D98" s="3" t="str">
        <f>_xlfn.TEXTAFTER(B98, " ")</f>
        <v>Udo</v>
      </c>
      <c r="E98" s="3" t="str">
        <f>TRIM(C98)</f>
        <v>Faith</v>
      </c>
      <c r="F98" s="3" t="str">
        <f t="shared" si="6"/>
        <v>Udo</v>
      </c>
      <c r="G98" s="3" t="str">
        <f>LOWER(C98&amp; "." &amp; D98 &amp; "@dame.com")</f>
        <v>faith.udo@dame.com</v>
      </c>
      <c r="H98" s="3">
        <f>LEN(SUBSTITUTE(B98," ",""))</f>
        <v>8</v>
      </c>
      <c r="I98" s="3" t="s">
        <v>71</v>
      </c>
      <c r="J98" s="3" t="str">
        <f t="shared" si="7"/>
        <v>HR</v>
      </c>
      <c r="K98" s="3" t="str">
        <f t="shared" si="8"/>
        <v>hr</v>
      </c>
      <c r="L98" s="3" t="str">
        <f t="shared" si="9"/>
        <v>Hr</v>
      </c>
      <c r="M98" s="3" t="s">
        <v>47</v>
      </c>
      <c r="N98" s="3" t="s">
        <v>43</v>
      </c>
      <c r="O98" s="4">
        <v>363199</v>
      </c>
      <c r="P98" s="3">
        <v>4</v>
      </c>
      <c r="Q98" s="3" t="s">
        <v>59</v>
      </c>
    </row>
    <row r="99" spans="1:17" ht="16.5" customHeight="1" x14ac:dyDescent="0.35">
      <c r="A99" s="3" t="s">
        <v>168</v>
      </c>
      <c r="B99" s="3" t="s">
        <v>61</v>
      </c>
      <c r="C99" s="3" t="str">
        <f t="shared" si="5"/>
        <v>Tunde</v>
      </c>
      <c r="D99" s="3" t="str">
        <f>_xlfn.TEXTAFTER(B99, " ")</f>
        <v>Salisu</v>
      </c>
      <c r="E99" s="3" t="str">
        <f>TRIM(C99)</f>
        <v>Tunde</v>
      </c>
      <c r="F99" s="3" t="str">
        <f t="shared" si="6"/>
        <v>Salisu</v>
      </c>
      <c r="G99" s="3" t="str">
        <f>LOWER(C99&amp; "." &amp; D99 &amp; "@dame.com")</f>
        <v>tunde.salisu@dame.com</v>
      </c>
      <c r="H99" s="3">
        <f>LEN(SUBSTITUTE(B99," ",""))</f>
        <v>11</v>
      </c>
      <c r="I99" s="3" t="s">
        <v>46</v>
      </c>
      <c r="J99" s="3" t="str">
        <f t="shared" si="7"/>
        <v>MARKETING</v>
      </c>
      <c r="K99" s="3" t="str">
        <f t="shared" si="8"/>
        <v>marketing</v>
      </c>
      <c r="L99" s="3" t="str">
        <f t="shared" si="9"/>
        <v>Marketing</v>
      </c>
      <c r="M99" s="3" t="s">
        <v>76</v>
      </c>
      <c r="N99" s="3" t="s">
        <v>43</v>
      </c>
      <c r="O99" s="4">
        <v>399940</v>
      </c>
      <c r="P99" s="3">
        <v>7</v>
      </c>
      <c r="Q99" s="3" t="s">
        <v>44</v>
      </c>
    </row>
    <row r="100" spans="1:17" ht="16.5" customHeight="1" x14ac:dyDescent="0.35">
      <c r="A100" s="3" t="s">
        <v>169</v>
      </c>
      <c r="B100" s="3" t="s">
        <v>64</v>
      </c>
      <c r="C100" s="3" t="str">
        <f t="shared" si="5"/>
        <v>James</v>
      </c>
      <c r="D100" s="3" t="str">
        <f>_xlfn.TEXTAFTER(B100, " ")</f>
        <v>Obi</v>
      </c>
      <c r="E100" s="3" t="str">
        <f>TRIM(C100)</f>
        <v>James</v>
      </c>
      <c r="F100" s="3" t="str">
        <f t="shared" si="6"/>
        <v>Obi</v>
      </c>
      <c r="G100" s="3" t="str">
        <f>LOWER(C100&amp; "." &amp; D100 &amp; "@dame.com")</f>
        <v>james.obi@dame.com</v>
      </c>
      <c r="H100" s="3">
        <f>LEN(SUBSTITUTE(B100," ",""))</f>
        <v>8</v>
      </c>
      <c r="I100" s="3" t="s">
        <v>41</v>
      </c>
      <c r="J100" s="3" t="str">
        <f t="shared" si="7"/>
        <v>IT</v>
      </c>
      <c r="K100" s="3" t="str">
        <f t="shared" si="8"/>
        <v>it</v>
      </c>
      <c r="L100" s="3" t="str">
        <f t="shared" si="9"/>
        <v>It</v>
      </c>
      <c r="M100" s="3" t="s">
        <v>87</v>
      </c>
      <c r="N100" s="3" t="s">
        <v>43</v>
      </c>
      <c r="O100" s="4">
        <v>231891</v>
      </c>
      <c r="P100" s="3">
        <v>4</v>
      </c>
      <c r="Q100" s="3" t="s">
        <v>59</v>
      </c>
    </row>
    <row r="101" spans="1:17" ht="16.5" customHeight="1" x14ac:dyDescent="0.35">
      <c r="A101" s="3" t="s">
        <v>170</v>
      </c>
      <c r="B101" s="3" t="s">
        <v>51</v>
      </c>
      <c r="C101" s="3" t="str">
        <f t="shared" si="5"/>
        <v>Faith</v>
      </c>
      <c r="D101" s="3" t="str">
        <f>_xlfn.TEXTAFTER(B101, " ")</f>
        <v>Udo</v>
      </c>
      <c r="E101" s="3" t="str">
        <f>TRIM(C101)</f>
        <v>Faith</v>
      </c>
      <c r="F101" s="3" t="str">
        <f t="shared" si="6"/>
        <v>Udo</v>
      </c>
      <c r="G101" s="3" t="str">
        <f>LOWER(C101&amp; "." &amp; D101 &amp; "@dame.com")</f>
        <v>faith.udo@dame.com</v>
      </c>
      <c r="H101" s="3">
        <f>LEN(SUBSTITUTE(B101," ",""))</f>
        <v>8</v>
      </c>
      <c r="I101" s="3" t="s">
        <v>52</v>
      </c>
      <c r="J101" s="3" t="str">
        <f t="shared" si="7"/>
        <v>SALES</v>
      </c>
      <c r="K101" s="3" t="str">
        <f t="shared" si="8"/>
        <v>sales</v>
      </c>
      <c r="L101" s="3" t="str">
        <f t="shared" si="9"/>
        <v>Sales</v>
      </c>
      <c r="M101" s="3" t="s">
        <v>90</v>
      </c>
      <c r="N101" s="3" t="s">
        <v>43</v>
      </c>
      <c r="O101" s="4">
        <v>203199</v>
      </c>
      <c r="P101" s="3">
        <v>8</v>
      </c>
      <c r="Q101" s="3" t="s">
        <v>66</v>
      </c>
    </row>
    <row r="102" spans="1:17" ht="16.5" customHeight="1" x14ac:dyDescent="0.35"/>
    <row r="103" spans="1:17" ht="16.5" customHeight="1" x14ac:dyDescent="0.35"/>
    <row r="104" spans="1:17" ht="16.5" customHeight="1" x14ac:dyDescent="0.35"/>
    <row r="105" spans="1:17" ht="16.5" customHeight="1" x14ac:dyDescent="0.35"/>
    <row r="106" spans="1:17" ht="16.5" customHeight="1" x14ac:dyDescent="0.35"/>
    <row r="107" spans="1:17" ht="16.5" customHeight="1" x14ac:dyDescent="0.35"/>
    <row r="108" spans="1:17" ht="16.5" customHeight="1" x14ac:dyDescent="0.35"/>
    <row r="109" spans="1:17" ht="16.5" customHeight="1" x14ac:dyDescent="0.35"/>
    <row r="110" spans="1:17" ht="16.5" customHeight="1" x14ac:dyDescent="0.35"/>
    <row r="111" spans="1:17" ht="16.5" customHeight="1" x14ac:dyDescent="0.35"/>
    <row r="112" spans="1:17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2 Text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YAHAYA</cp:lastModifiedBy>
  <dcterms:created xsi:type="dcterms:W3CDTF">2025-10-30T12:28:00Z</dcterms:created>
  <dcterms:modified xsi:type="dcterms:W3CDTF">2026-03-17T21:39:16Z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1033-12.1.22533.22533</vt:lpwstr>
  </property>
</Properties>
</file>